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snewn\Documents\fastai\2018\lesson5\"/>
    </mc:Choice>
  </mc:AlternateContent>
  <xr:revisionPtr revIDLastSave="0" documentId="8_{73129313-7B5E-4D87-AF2C-CEBA8CB4BAAB}" xr6:coauthVersionLast="33" xr6:coauthVersionMax="33" xr10:uidLastSave="{00000000-0000-0000-0000-000000000000}"/>
  <bookViews>
    <workbookView xWindow="0" yWindow="0" windowWidth="17256" windowHeight="4212" activeTab="4" xr2:uid="{00000000-000D-0000-FFFF-FFFF00000000}"/>
  </bookViews>
  <sheets>
    <sheet name="Intro" sheetId="20" r:id="rId1"/>
    <sheet name="data" sheetId="1" r:id="rId2"/>
    <sheet name="basic SGD" sheetId="3" r:id="rId3"/>
    <sheet name="momentum" sheetId="18" r:id="rId4"/>
    <sheet name="adam" sheetId="15" r:id="rId5"/>
  </sheets>
  <definedNames>
    <definedName name="const" localSheetId="4">adam!$C$2</definedName>
    <definedName name="const" localSheetId="2">'basic SGD'!$C$1</definedName>
    <definedName name="const" localSheetId="3">momentum!$C$2</definedName>
    <definedName name="gradtarget" localSheetId="4">adam!$L$34:$M$34</definedName>
    <definedName name="gradtarget" localSheetId="2">'basic SGD'!$K$1:$L$1</definedName>
    <definedName name="gradtarget" localSheetId="3">momentum!#REF!</definedName>
    <definedName name="histgrad" localSheetId="4">adam!$F$34:$G$34</definedName>
    <definedName name="histgrad" localSheetId="2">'basic SGD'!$K$37:$L$37</definedName>
    <definedName name="histgrad" localSheetId="3">momentum!$F$35:$G$35</definedName>
    <definedName name="lastconst" localSheetId="4">adam!$C$33</definedName>
    <definedName name="lastconst" localSheetId="2">'basic SGD'!$C$36</definedName>
    <definedName name="lastconst" localSheetId="3">momentum!$C$34</definedName>
    <definedName name="lastslope" localSheetId="4">adam!$D$33</definedName>
    <definedName name="lastslope" localSheetId="2">'basic SGD'!$D$36</definedName>
    <definedName name="lastslope" localSheetId="3">momentum!$D$34</definedName>
    <definedName name="lr" localSheetId="4">adam!$D$3</definedName>
    <definedName name="lr" localSheetId="3">momentum!$D$3</definedName>
    <definedName name="max_clipped" localSheetId="4">adam!$O$35</definedName>
    <definedName name="max_clipped" localSheetId="3">momentum!$M$36</definedName>
    <definedName name="momlast" localSheetId="4">adam!$J$33:$K$33</definedName>
    <definedName name="momlast" localSheetId="3">momentum!$J$34:$K$34</definedName>
    <definedName name="momtarget" localSheetId="4">adam!$J$34:$K$34</definedName>
    <definedName name="momtarget" localSheetId="3">momentum!$J$35:$K$35</definedName>
    <definedName name="ms_last" localSheetId="4">adam!$L$33:$M$33</definedName>
    <definedName name="ms_last" localSheetId="3">momentum!#REF!</definedName>
    <definedName name="pct_clipped" localSheetId="4">adam!$O$34</definedName>
    <definedName name="pct_clipped" localSheetId="3">momentum!$M$35</definedName>
    <definedName name="rmse" localSheetId="2">'basic SGD'!$F$37</definedName>
    <definedName name="rmses" localSheetId="2">'basic SGD'!$C$42:$C$110</definedName>
    <definedName name="rmsestart" localSheetId="2">'basic SGD'!$C$40</definedName>
    <definedName name="slope" localSheetId="4">adam!$C$3</definedName>
    <definedName name="slope" localSheetId="2">'basic SGD'!$C$2</definedName>
    <definedName name="slope" localSheetId="3">momentum!$C$3</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2" i="15" l="1"/>
  <c r="M11" i="15"/>
  <c r="L10" i="15"/>
  <c r="K10" i="15"/>
  <c r="J9" i="15"/>
  <c r="L5" i="15"/>
  <c r="M4" i="15"/>
  <c r="J5" i="18" l="1"/>
  <c r="C9" i="3"/>
  <c r="N8" i="3"/>
  <c r="M8" i="3"/>
  <c r="H8" i="3"/>
  <c r="G8" i="3"/>
  <c r="F8" i="3"/>
  <c r="D8" i="3"/>
  <c r="E8" i="3"/>
  <c r="J8" i="3"/>
  <c r="K8" i="3"/>
  <c r="L8" i="3"/>
  <c r="D6" i="18" l="1"/>
  <c r="C6" i="18"/>
  <c r="K5" i="18"/>
  <c r="I3" i="18"/>
  <c r="F6" i="18" l="1"/>
  <c r="G6" i="18" s="1"/>
  <c r="K6" i="18" s="1"/>
  <c r="I6" i="18" s="1"/>
  <c r="D7" i="18" s="1"/>
  <c r="E6" i="18"/>
  <c r="J6" i="18" l="1"/>
  <c r="K4" i="15"/>
  <c r="J4" i="15"/>
  <c r="K2" i="15"/>
  <c r="D5" i="15"/>
  <c r="C5" i="15"/>
  <c r="L4" i="15"/>
  <c r="M2" i="15"/>
  <c r="H6" i="18" l="1"/>
  <c r="C7" i="18" s="1"/>
  <c r="F5" i="15"/>
  <c r="E5" i="15"/>
  <c r="F7" i="18" l="1"/>
  <c r="E7" i="18"/>
  <c r="G5" i="15"/>
  <c r="J5" i="15"/>
  <c r="J7" i="18" l="1"/>
  <c r="H7" i="18" s="1"/>
  <c r="C8" i="18" s="1"/>
  <c r="G7" i="18"/>
  <c r="K7" i="18" s="1"/>
  <c r="I7" i="18" s="1"/>
  <c r="D8" i="18" s="1"/>
  <c r="H5" i="15"/>
  <c r="C6" i="15" s="1"/>
  <c r="K5" i="15"/>
  <c r="M5" i="15"/>
  <c r="F8" i="18" l="1"/>
  <c r="E8" i="18"/>
  <c r="I5" i="15"/>
  <c r="D6" i="15" s="1"/>
  <c r="F6" i="15" s="1"/>
  <c r="G8" i="18" l="1"/>
  <c r="J8" i="18"/>
  <c r="H8" i="18" s="1"/>
  <c r="E6" i="15"/>
  <c r="J6" i="15"/>
  <c r="L6" i="15"/>
  <c r="G6" i="15"/>
  <c r="C9" i="18" l="1"/>
  <c r="K8" i="18"/>
  <c r="I8" i="18" s="1"/>
  <c r="H6" i="15"/>
  <c r="C7" i="15" s="1"/>
  <c r="K6" i="15"/>
  <c r="M6" i="15"/>
  <c r="C8" i="3"/>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35" i="1"/>
  <c r="C35" i="1" s="1"/>
  <c r="B7" i="1"/>
  <c r="C7" i="1" s="1"/>
  <c r="D9" i="18" l="1"/>
  <c r="I6" i="15"/>
  <c r="D7" i="15" s="1"/>
  <c r="F7" i="15" s="1"/>
  <c r="I8" i="3"/>
  <c r="E9" i="18" l="1"/>
  <c r="F9" i="18"/>
  <c r="E7" i="15"/>
  <c r="G7" i="15"/>
  <c r="L7" i="15"/>
  <c r="J7" i="15"/>
  <c r="G9" i="18" l="1"/>
  <c r="J9" i="18"/>
  <c r="H9" i="18" s="1"/>
  <c r="H7" i="15"/>
  <c r="C8" i="15" s="1"/>
  <c r="M7" i="15"/>
  <c r="K7" i="15"/>
  <c r="D9" i="3"/>
  <c r="E9" i="3" s="1"/>
  <c r="F9" i="3" s="1"/>
  <c r="K9" i="18" l="1"/>
  <c r="I9" i="18" s="1"/>
  <c r="C10" i="18"/>
  <c r="I7" i="15"/>
  <c r="D8" i="15" s="1"/>
  <c r="G9" i="3"/>
  <c r="I9" i="3"/>
  <c r="D10" i="18" l="1"/>
  <c r="F8" i="15"/>
  <c r="E8" i="15"/>
  <c r="J9" i="3"/>
  <c r="K9" i="3"/>
  <c r="N9" i="3" s="1"/>
  <c r="C10" i="3" s="1"/>
  <c r="E10" i="18" l="1"/>
  <c r="F10" i="18"/>
  <c r="J8" i="15"/>
  <c r="L8" i="15"/>
  <c r="G8" i="15"/>
  <c r="H9" i="3"/>
  <c r="L9" i="3"/>
  <c r="M9" i="3" s="1"/>
  <c r="D10" i="3" s="1"/>
  <c r="G10" i="3" s="1"/>
  <c r="G10" i="18" l="1"/>
  <c r="J10" i="18"/>
  <c r="H10" i="18" s="1"/>
  <c r="H8" i="15"/>
  <c r="C9" i="15" s="1"/>
  <c r="M8" i="15"/>
  <c r="K8" i="15"/>
  <c r="E10" i="3"/>
  <c r="F10" i="3" s="1"/>
  <c r="I10" i="3"/>
  <c r="K10" i="3" l="1"/>
  <c r="N10" i="3" s="1"/>
  <c r="C11" i="3" s="1"/>
  <c r="C11" i="18"/>
  <c r="K10" i="18"/>
  <c r="I10" i="18" s="1"/>
  <c r="I8" i="15"/>
  <c r="D9" i="15" s="1"/>
  <c r="E9" i="15" s="1"/>
  <c r="J10" i="3"/>
  <c r="H10" i="3"/>
  <c r="L10" i="3" l="1"/>
  <c r="M10" i="3" s="1"/>
  <c r="D11" i="3" s="1"/>
  <c r="G11" i="3" s="1"/>
  <c r="D11" i="18"/>
  <c r="F9" i="15"/>
  <c r="I11" i="3" l="1"/>
  <c r="E11" i="3"/>
  <c r="F11" i="3" s="1"/>
  <c r="E11" i="18"/>
  <c r="F11" i="18"/>
  <c r="L9" i="15"/>
  <c r="G9" i="15"/>
  <c r="K11" i="3" l="1"/>
  <c r="L11" i="3" s="1"/>
  <c r="M11" i="3" s="1"/>
  <c r="D12" i="3" s="1"/>
  <c r="G11" i="18"/>
  <c r="J11" i="18"/>
  <c r="H11" i="18" s="1"/>
  <c r="H9" i="15"/>
  <c r="C10" i="15" s="1"/>
  <c r="K9" i="15"/>
  <c r="M9" i="15"/>
  <c r="H11" i="3"/>
  <c r="J11" i="3"/>
  <c r="N11" i="3" l="1"/>
  <c r="C12" i="3" s="1"/>
  <c r="E12" i="3" s="1"/>
  <c r="K12" i="3" s="1"/>
  <c r="N12" i="3" s="1"/>
  <c r="C13" i="3" s="1"/>
  <c r="C12" i="18"/>
  <c r="K11" i="18"/>
  <c r="I11" i="18" s="1"/>
  <c r="I9" i="15"/>
  <c r="D10" i="15" s="1"/>
  <c r="F10" i="15" s="1"/>
  <c r="I12" i="3" l="1"/>
  <c r="G12" i="3"/>
  <c r="D12" i="18"/>
  <c r="G10" i="15"/>
  <c r="J10" i="15"/>
  <c r="E10" i="15"/>
  <c r="F12" i="3"/>
  <c r="L12" i="3"/>
  <c r="M12" i="3" s="1"/>
  <c r="D13" i="3" s="1"/>
  <c r="E13" i="3" s="1"/>
  <c r="J12" i="3" l="1"/>
  <c r="E12" i="18"/>
  <c r="F12" i="18"/>
  <c r="M10" i="15"/>
  <c r="H10" i="15"/>
  <c r="C11" i="15" s="1"/>
  <c r="H12" i="3"/>
  <c r="F13" i="3"/>
  <c r="K13" i="3"/>
  <c r="N13" i="3" s="1"/>
  <c r="G13" i="3"/>
  <c r="I13" i="3"/>
  <c r="G12" i="18" l="1"/>
  <c r="J12" i="18"/>
  <c r="H12" i="18" s="1"/>
  <c r="I10" i="15"/>
  <c r="D11" i="15" s="1"/>
  <c r="F11" i="15" s="1"/>
  <c r="H13" i="3"/>
  <c r="J13" i="3"/>
  <c r="L13" i="3"/>
  <c r="M13" i="3" s="1"/>
  <c r="D14" i="3" s="1"/>
  <c r="C14" i="3"/>
  <c r="C13" i="18" l="1"/>
  <c r="K12" i="18"/>
  <c r="I12" i="18" s="1"/>
  <c r="E11" i="15"/>
  <c r="J11" i="15"/>
  <c r="G11" i="15"/>
  <c r="L11" i="15"/>
  <c r="E14" i="3"/>
  <c r="I14" i="3"/>
  <c r="G14" i="3"/>
  <c r="D13" i="18" l="1"/>
  <c r="K11" i="15"/>
  <c r="H11" i="15"/>
  <c r="C12" i="15" s="1"/>
  <c r="F14" i="3"/>
  <c r="H14" i="3" s="1"/>
  <c r="K14" i="3"/>
  <c r="L14" i="3" s="1"/>
  <c r="M14" i="3" s="1"/>
  <c r="D15" i="3" s="1"/>
  <c r="E13" i="18" l="1"/>
  <c r="F13" i="18"/>
  <c r="I11" i="15"/>
  <c r="D12" i="15" s="1"/>
  <c r="E12" i="15" s="1"/>
  <c r="J14" i="3"/>
  <c r="N14" i="3"/>
  <c r="C15" i="3" s="1"/>
  <c r="E15" i="3" s="1"/>
  <c r="G13" i="18" l="1"/>
  <c r="J13" i="18"/>
  <c r="H13" i="18" s="1"/>
  <c r="F12" i="15"/>
  <c r="G15" i="3"/>
  <c r="F15" i="3"/>
  <c r="K15" i="3"/>
  <c r="L15" i="3" s="1"/>
  <c r="M15" i="3" s="1"/>
  <c r="D16" i="3" s="1"/>
  <c r="I15" i="3"/>
  <c r="C14" i="18" l="1"/>
  <c r="K13" i="18"/>
  <c r="I13" i="18" s="1"/>
  <c r="G12" i="15"/>
  <c r="J12" i="15"/>
  <c r="J15" i="3"/>
  <c r="H15" i="3"/>
  <c r="N15" i="3"/>
  <c r="C16" i="3" s="1"/>
  <c r="I16" i="3" s="1"/>
  <c r="D14" i="18" l="1"/>
  <c r="K12" i="15"/>
  <c r="M12" i="15"/>
  <c r="H12" i="15"/>
  <c r="C13" i="15" s="1"/>
  <c r="E16" i="3"/>
  <c r="G16" i="3"/>
  <c r="E14" i="18" l="1"/>
  <c r="F14" i="18"/>
  <c r="I12" i="15"/>
  <c r="D13" i="15" s="1"/>
  <c r="E13" i="15" s="1"/>
  <c r="F16" i="3"/>
  <c r="J16" i="3" s="1"/>
  <c r="K16" i="3"/>
  <c r="G14" i="18" l="1"/>
  <c r="J14" i="18"/>
  <c r="H14" i="18" s="1"/>
  <c r="F13" i="15"/>
  <c r="L16" i="3"/>
  <c r="M16" i="3" s="1"/>
  <c r="D17" i="3" s="1"/>
  <c r="N16" i="3"/>
  <c r="C17" i="3" s="1"/>
  <c r="H16" i="3"/>
  <c r="C15" i="18" l="1"/>
  <c r="K14" i="18"/>
  <c r="I14" i="18" s="1"/>
  <c r="L13" i="15"/>
  <c r="G13" i="15"/>
  <c r="J13" i="15"/>
  <c r="E17" i="3"/>
  <c r="G17" i="3"/>
  <c r="I17" i="3"/>
  <c r="D15" i="18" l="1"/>
  <c r="H13" i="15"/>
  <c r="C14" i="15" s="1"/>
  <c r="K13" i="15"/>
  <c r="M13" i="15"/>
  <c r="F17" i="3"/>
  <c r="H17" i="3" s="1"/>
  <c r="K17" i="3"/>
  <c r="F15" i="18" l="1"/>
  <c r="E15" i="18"/>
  <c r="I13" i="15"/>
  <c r="D14" i="15" s="1"/>
  <c r="F14" i="15" s="1"/>
  <c r="J17" i="3"/>
  <c r="L17" i="3"/>
  <c r="M17" i="3" s="1"/>
  <c r="D18" i="3" s="1"/>
  <c r="N17" i="3"/>
  <c r="C18" i="3" s="1"/>
  <c r="G15" i="18" l="1"/>
  <c r="J15" i="18"/>
  <c r="H15" i="18" s="1"/>
  <c r="E14" i="15"/>
  <c r="J14" i="15"/>
  <c r="L14" i="15"/>
  <c r="G14" i="15"/>
  <c r="G18" i="3"/>
  <c r="E18" i="3"/>
  <c r="I18" i="3"/>
  <c r="K15" i="18" l="1"/>
  <c r="I15" i="18" s="1"/>
  <c r="C16" i="18"/>
  <c r="H14" i="15"/>
  <c r="C15" i="15" s="1"/>
  <c r="K14" i="15"/>
  <c r="M14" i="15"/>
  <c r="F18" i="3"/>
  <c r="J18" i="3" s="1"/>
  <c r="K18" i="3"/>
  <c r="D16" i="18" l="1"/>
  <c r="I14" i="15"/>
  <c r="D15" i="15" s="1"/>
  <c r="E15" i="15" s="1"/>
  <c r="H18" i="3"/>
  <c r="L18" i="3"/>
  <c r="M18" i="3" s="1"/>
  <c r="D19" i="3" s="1"/>
  <c r="N18" i="3"/>
  <c r="C19" i="3" s="1"/>
  <c r="F16" i="18" l="1"/>
  <c r="E16" i="18"/>
  <c r="F15" i="15"/>
  <c r="L15" i="15" s="1"/>
  <c r="G19" i="3"/>
  <c r="E19" i="3"/>
  <c r="I19" i="3"/>
  <c r="G16" i="18" l="1"/>
  <c r="J16" i="18"/>
  <c r="H16" i="18" s="1"/>
  <c r="J15" i="15"/>
  <c r="H15" i="15" s="1"/>
  <c r="C16" i="15" s="1"/>
  <c r="G15" i="15"/>
  <c r="F19" i="3"/>
  <c r="J19" i="3" s="1"/>
  <c r="K19" i="3"/>
  <c r="C17" i="18" l="1"/>
  <c r="K16" i="18"/>
  <c r="I16" i="18" s="1"/>
  <c r="M15" i="15"/>
  <c r="K15" i="15"/>
  <c r="H19" i="3"/>
  <c r="L19" i="3"/>
  <c r="M19" i="3" s="1"/>
  <c r="D20" i="3" s="1"/>
  <c r="N19" i="3"/>
  <c r="C20" i="3" s="1"/>
  <c r="D17" i="18" l="1"/>
  <c r="I15" i="15"/>
  <c r="D16" i="15" s="1"/>
  <c r="F16" i="15" s="1"/>
  <c r="G20" i="3"/>
  <c r="E20" i="3"/>
  <c r="I20" i="3"/>
  <c r="E17" i="18" l="1"/>
  <c r="F17" i="18"/>
  <c r="E16" i="15"/>
  <c r="J16" i="15"/>
  <c r="L16" i="15"/>
  <c r="G16" i="15"/>
  <c r="F20" i="3"/>
  <c r="J20" i="3" s="1"/>
  <c r="K20" i="3"/>
  <c r="G17" i="18" l="1"/>
  <c r="J17" i="18"/>
  <c r="H17" i="18" s="1"/>
  <c r="H16" i="15"/>
  <c r="C17" i="15" s="1"/>
  <c r="M16" i="15"/>
  <c r="K16" i="15"/>
  <c r="H20" i="3"/>
  <c r="L20" i="3"/>
  <c r="M20" i="3" s="1"/>
  <c r="D21" i="3" s="1"/>
  <c r="N20" i="3"/>
  <c r="C21" i="3" s="1"/>
  <c r="C18" i="18" l="1"/>
  <c r="K17" i="18"/>
  <c r="I17" i="18" s="1"/>
  <c r="I16" i="15"/>
  <c r="D17" i="15" s="1"/>
  <c r="G21" i="3"/>
  <c r="E21" i="3"/>
  <c r="I21" i="3"/>
  <c r="D18" i="18" l="1"/>
  <c r="E17" i="15"/>
  <c r="F17" i="15"/>
  <c r="F21" i="3"/>
  <c r="H21" i="3" s="1"/>
  <c r="K21" i="3"/>
  <c r="E18" i="18" l="1"/>
  <c r="F18" i="18"/>
  <c r="L17" i="15"/>
  <c r="G17" i="15"/>
  <c r="J17" i="15"/>
  <c r="J21" i="3"/>
  <c r="L21" i="3"/>
  <c r="M21" i="3" s="1"/>
  <c r="D22" i="3" s="1"/>
  <c r="N21" i="3"/>
  <c r="C22" i="3" s="1"/>
  <c r="G18" i="18" l="1"/>
  <c r="J18" i="18"/>
  <c r="H18" i="18" s="1"/>
  <c r="H17" i="15"/>
  <c r="C18" i="15" s="1"/>
  <c r="M17" i="15"/>
  <c r="K17" i="15"/>
  <c r="G22" i="3"/>
  <c r="E22" i="3"/>
  <c r="I22" i="3"/>
  <c r="C19" i="18" l="1"/>
  <c r="K18" i="18"/>
  <c r="I18" i="18" s="1"/>
  <c r="I17" i="15"/>
  <c r="D18" i="15" s="1"/>
  <c r="F18" i="15" s="1"/>
  <c r="J18" i="15" s="1"/>
  <c r="F22" i="3"/>
  <c r="J22" i="3" s="1"/>
  <c r="K22" i="3"/>
  <c r="D19" i="18" l="1"/>
  <c r="G18" i="15"/>
  <c r="K18" i="15" s="1"/>
  <c r="E18" i="15"/>
  <c r="L18" i="15"/>
  <c r="H18" i="15" s="1"/>
  <c r="C19" i="15" s="1"/>
  <c r="H22" i="3"/>
  <c r="L22" i="3"/>
  <c r="M22" i="3" s="1"/>
  <c r="D23" i="3" s="1"/>
  <c r="N22" i="3"/>
  <c r="C23" i="3" s="1"/>
  <c r="F19" i="18" l="1"/>
  <c r="E19" i="18"/>
  <c r="M18" i="15"/>
  <c r="I18" i="15" s="1"/>
  <c r="D19" i="15" s="1"/>
  <c r="G23" i="3"/>
  <c r="E23" i="3"/>
  <c r="I23" i="3"/>
  <c r="G19" i="18" l="1"/>
  <c r="J19" i="18"/>
  <c r="H19" i="18" s="1"/>
  <c r="F19" i="15"/>
  <c r="E19" i="15"/>
  <c r="F23" i="3"/>
  <c r="J23" i="3" s="1"/>
  <c r="K23" i="3"/>
  <c r="C20" i="18" l="1"/>
  <c r="K19" i="18"/>
  <c r="I19" i="18" s="1"/>
  <c r="J19" i="15"/>
  <c r="G19" i="15"/>
  <c r="L19" i="15"/>
  <c r="L23" i="3"/>
  <c r="M23" i="3" s="1"/>
  <c r="D24" i="3" s="1"/>
  <c r="N23" i="3"/>
  <c r="C24" i="3" s="1"/>
  <c r="H23" i="3"/>
  <c r="D20" i="18" l="1"/>
  <c r="M19" i="15"/>
  <c r="K19" i="15"/>
  <c r="H19" i="15"/>
  <c r="C20" i="15" s="1"/>
  <c r="G24" i="3"/>
  <c r="E24" i="3"/>
  <c r="I24" i="3"/>
  <c r="F20" i="18" l="1"/>
  <c r="E20" i="18"/>
  <c r="I19" i="15"/>
  <c r="D20" i="15" s="1"/>
  <c r="F20" i="15" s="1"/>
  <c r="F24" i="3"/>
  <c r="H24" i="3" s="1"/>
  <c r="K24" i="3"/>
  <c r="G20" i="18" l="1"/>
  <c r="J20" i="18"/>
  <c r="H20" i="18" s="1"/>
  <c r="E20" i="15"/>
  <c r="G20" i="15"/>
  <c r="J20" i="15"/>
  <c r="L20" i="15"/>
  <c r="J24" i="3"/>
  <c r="L24" i="3"/>
  <c r="M24" i="3" s="1"/>
  <c r="D25" i="3" s="1"/>
  <c r="N24" i="3"/>
  <c r="C25" i="3" s="1"/>
  <c r="C21" i="18" l="1"/>
  <c r="K20" i="18"/>
  <c r="I20" i="18" s="1"/>
  <c r="H20" i="15"/>
  <c r="C21" i="15" s="1"/>
  <c r="M20" i="15"/>
  <c r="K20" i="15"/>
  <c r="G25" i="3"/>
  <c r="E25" i="3"/>
  <c r="I25" i="3"/>
  <c r="D21" i="18" l="1"/>
  <c r="I20" i="15"/>
  <c r="D21" i="15" s="1"/>
  <c r="E21" i="15" s="1"/>
  <c r="F25" i="3"/>
  <c r="J25" i="3" s="1"/>
  <c r="K25" i="3"/>
  <c r="E21" i="18" l="1"/>
  <c r="F21" i="18"/>
  <c r="F21" i="15"/>
  <c r="J21" i="15" s="1"/>
  <c r="H25" i="3"/>
  <c r="L25" i="3"/>
  <c r="M25" i="3" s="1"/>
  <c r="D26" i="3" s="1"/>
  <c r="N25" i="3"/>
  <c r="C26" i="3" s="1"/>
  <c r="G21" i="18" l="1"/>
  <c r="J21" i="18"/>
  <c r="H21" i="18" s="1"/>
  <c r="L21" i="15"/>
  <c r="H21" i="15" s="1"/>
  <c r="C22" i="15" s="1"/>
  <c r="G21" i="15"/>
  <c r="G26" i="3"/>
  <c r="E26" i="3"/>
  <c r="I26" i="3"/>
  <c r="C22" i="18" l="1"/>
  <c r="K21" i="18"/>
  <c r="I21" i="18" s="1"/>
  <c r="M21" i="15"/>
  <c r="K21" i="15"/>
  <c r="F26" i="3"/>
  <c r="J26" i="3" s="1"/>
  <c r="K26" i="3"/>
  <c r="D22" i="18" l="1"/>
  <c r="I21" i="15"/>
  <c r="D22" i="15" s="1"/>
  <c r="E22" i="15" s="1"/>
  <c r="H26" i="3"/>
  <c r="L26" i="3"/>
  <c r="M26" i="3" s="1"/>
  <c r="D27" i="3" s="1"/>
  <c r="N26" i="3"/>
  <c r="C27" i="3" s="1"/>
  <c r="F22" i="18" l="1"/>
  <c r="E22" i="18"/>
  <c r="F22" i="15"/>
  <c r="G22" i="15" s="1"/>
  <c r="G27" i="3"/>
  <c r="E27" i="3"/>
  <c r="I27" i="3"/>
  <c r="G22" i="18" l="1"/>
  <c r="J22" i="18"/>
  <c r="H22" i="18" s="1"/>
  <c r="J22" i="15"/>
  <c r="L22" i="15"/>
  <c r="K22" i="15"/>
  <c r="M22" i="15"/>
  <c r="F27" i="3"/>
  <c r="J27" i="3" s="1"/>
  <c r="K27" i="3"/>
  <c r="C23" i="18" l="1"/>
  <c r="K22" i="18"/>
  <c r="I22" i="18" s="1"/>
  <c r="H22" i="15"/>
  <c r="C23" i="15" s="1"/>
  <c r="I22" i="15"/>
  <c r="D23" i="15" s="1"/>
  <c r="H27" i="3"/>
  <c r="L27" i="3"/>
  <c r="M27" i="3" s="1"/>
  <c r="D28" i="3" s="1"/>
  <c r="N27" i="3"/>
  <c r="C28" i="3" s="1"/>
  <c r="D23" i="18" l="1"/>
  <c r="F23" i="15"/>
  <c r="E23" i="15"/>
  <c r="G28" i="3"/>
  <c r="E28" i="3"/>
  <c r="I28" i="3"/>
  <c r="E23" i="18" l="1"/>
  <c r="F23" i="18"/>
  <c r="G23" i="15"/>
  <c r="M23" i="15" s="1"/>
  <c r="J23" i="15"/>
  <c r="L23" i="15"/>
  <c r="F28" i="3"/>
  <c r="H28" i="3" s="1"/>
  <c r="K28" i="3"/>
  <c r="G23" i="18" l="1"/>
  <c r="J23" i="18"/>
  <c r="H23" i="18" s="1"/>
  <c r="H23" i="15"/>
  <c r="C24" i="15" s="1"/>
  <c r="K23" i="15"/>
  <c r="I23" i="15" s="1"/>
  <c r="D24" i="15" s="1"/>
  <c r="J28" i="3"/>
  <c r="L28" i="3"/>
  <c r="M28" i="3" s="1"/>
  <c r="D29" i="3" s="1"/>
  <c r="N28" i="3"/>
  <c r="C29" i="3" s="1"/>
  <c r="C24" i="18" l="1"/>
  <c r="K23" i="18"/>
  <c r="I23" i="18" s="1"/>
  <c r="F24" i="15"/>
  <c r="E24" i="15"/>
  <c r="G29" i="3"/>
  <c r="E29" i="3"/>
  <c r="I29" i="3"/>
  <c r="D24" i="18" l="1"/>
  <c r="J24" i="15"/>
  <c r="G24" i="15"/>
  <c r="L24" i="15"/>
  <c r="F29" i="3"/>
  <c r="J29" i="3" s="1"/>
  <c r="K29" i="3"/>
  <c r="E24" i="18" l="1"/>
  <c r="F24" i="18"/>
  <c r="M24" i="15"/>
  <c r="H24" i="15"/>
  <c r="C25" i="15" s="1"/>
  <c r="K24" i="15"/>
  <c r="L29" i="3"/>
  <c r="M29" i="3" s="1"/>
  <c r="D30" i="3" s="1"/>
  <c r="N29" i="3"/>
  <c r="C30" i="3" s="1"/>
  <c r="H29" i="3"/>
  <c r="G24" i="18" l="1"/>
  <c r="J24" i="18"/>
  <c r="H24" i="18" s="1"/>
  <c r="I24" i="15"/>
  <c r="D25" i="15" s="1"/>
  <c r="E25" i="15" s="1"/>
  <c r="G30" i="3"/>
  <c r="E30" i="3"/>
  <c r="I30" i="3"/>
  <c r="C25" i="18" l="1"/>
  <c r="K24" i="18"/>
  <c r="I24" i="18" s="1"/>
  <c r="F25" i="15"/>
  <c r="F30" i="3"/>
  <c r="J30" i="3" s="1"/>
  <c r="K30" i="3"/>
  <c r="D25" i="18" l="1"/>
  <c r="L25" i="15"/>
  <c r="G25" i="15"/>
  <c r="M25" i="15" s="1"/>
  <c r="J25" i="15"/>
  <c r="H30" i="3"/>
  <c r="L30" i="3"/>
  <c r="M30" i="3" s="1"/>
  <c r="D31" i="3" s="1"/>
  <c r="N30" i="3"/>
  <c r="C31" i="3" s="1"/>
  <c r="E25" i="18" l="1"/>
  <c r="F25" i="18"/>
  <c r="K25" i="15"/>
  <c r="I25" i="15" s="1"/>
  <c r="D26" i="15" s="1"/>
  <c r="H25" i="15"/>
  <c r="C26" i="15" s="1"/>
  <c r="E31" i="3"/>
  <c r="G31" i="3"/>
  <c r="I31" i="3"/>
  <c r="G25" i="18" l="1"/>
  <c r="J25" i="18"/>
  <c r="H25" i="18" s="1"/>
  <c r="E26" i="15"/>
  <c r="F26" i="15"/>
  <c r="F31" i="3"/>
  <c r="J31" i="3" s="1"/>
  <c r="K31" i="3"/>
  <c r="C26" i="18" l="1"/>
  <c r="K25" i="18"/>
  <c r="I25" i="18" s="1"/>
  <c r="J26" i="15"/>
  <c r="L26" i="15"/>
  <c r="G26" i="15"/>
  <c r="M26" i="15" s="1"/>
  <c r="L31" i="3"/>
  <c r="M31" i="3" s="1"/>
  <c r="D32" i="3" s="1"/>
  <c r="N31" i="3"/>
  <c r="C32" i="3" s="1"/>
  <c r="H31" i="3"/>
  <c r="D26" i="18" l="1"/>
  <c r="H26" i="15"/>
  <c r="C27" i="15" s="1"/>
  <c r="K26" i="15"/>
  <c r="I26" i="15" s="1"/>
  <c r="D27" i="15" s="1"/>
  <c r="G32" i="3"/>
  <c r="E32" i="3"/>
  <c r="I32" i="3"/>
  <c r="F26" i="18" l="1"/>
  <c r="E26" i="18"/>
  <c r="F27" i="15"/>
  <c r="E27" i="15"/>
  <c r="F32" i="3"/>
  <c r="H32" i="3" s="1"/>
  <c r="K32" i="3"/>
  <c r="G26" i="18" l="1"/>
  <c r="J26" i="18"/>
  <c r="H26" i="18" s="1"/>
  <c r="G27" i="15"/>
  <c r="L27" i="15"/>
  <c r="J27" i="15"/>
  <c r="J32" i="3"/>
  <c r="L32" i="3"/>
  <c r="M32" i="3" s="1"/>
  <c r="D33" i="3" s="1"/>
  <c r="N32" i="3"/>
  <c r="C33" i="3" s="1"/>
  <c r="C27" i="18" l="1"/>
  <c r="K26" i="18"/>
  <c r="I26" i="18" s="1"/>
  <c r="M27" i="15"/>
  <c r="K27" i="15"/>
  <c r="H27" i="15"/>
  <c r="C28" i="15" s="1"/>
  <c r="G33" i="3"/>
  <c r="E33" i="3"/>
  <c r="I33" i="3"/>
  <c r="D27" i="18" l="1"/>
  <c r="I27" i="15"/>
  <c r="D28" i="15" s="1"/>
  <c r="E28" i="15" s="1"/>
  <c r="F33" i="3"/>
  <c r="J33" i="3" s="1"/>
  <c r="K33" i="3"/>
  <c r="F27" i="18" l="1"/>
  <c r="E27" i="18"/>
  <c r="F28" i="15"/>
  <c r="G28" i="15" s="1"/>
  <c r="M28" i="15" s="1"/>
  <c r="H33" i="3"/>
  <c r="L33" i="3"/>
  <c r="M33" i="3" s="1"/>
  <c r="D34" i="3" s="1"/>
  <c r="N33" i="3"/>
  <c r="C34" i="3" s="1"/>
  <c r="G27" i="18" l="1"/>
  <c r="J27" i="18"/>
  <c r="H27" i="18" s="1"/>
  <c r="J28" i="15"/>
  <c r="K28" i="15"/>
  <c r="I28" i="15" s="1"/>
  <c r="D29" i="15" s="1"/>
  <c r="L28" i="15"/>
  <c r="G34" i="3"/>
  <c r="E34" i="3"/>
  <c r="I34" i="3"/>
  <c r="C28" i="18" l="1"/>
  <c r="K27" i="18"/>
  <c r="I27" i="18" s="1"/>
  <c r="H28" i="15"/>
  <c r="C29" i="15" s="1"/>
  <c r="F29" i="15" s="1"/>
  <c r="F34" i="3"/>
  <c r="J34" i="3" s="1"/>
  <c r="K34" i="3"/>
  <c r="D28" i="18" l="1"/>
  <c r="L29" i="15"/>
  <c r="G29" i="15"/>
  <c r="J29" i="15"/>
  <c r="E29" i="15"/>
  <c r="H34" i="3"/>
  <c r="L34" i="3"/>
  <c r="M34" i="3" s="1"/>
  <c r="D35" i="3" s="1"/>
  <c r="N34" i="3"/>
  <c r="C35" i="3" s="1"/>
  <c r="E28" i="18" l="1"/>
  <c r="F28" i="18"/>
  <c r="K29" i="15"/>
  <c r="M29" i="15"/>
  <c r="H29" i="15"/>
  <c r="C30" i="15" s="1"/>
  <c r="G35" i="3"/>
  <c r="E35" i="3"/>
  <c r="I35" i="3"/>
  <c r="G28" i="18" l="1"/>
  <c r="J28" i="18"/>
  <c r="H28" i="18" s="1"/>
  <c r="I29" i="15"/>
  <c r="D30" i="15" s="1"/>
  <c r="F30" i="15" s="1"/>
  <c r="F35" i="3"/>
  <c r="H35" i="3" s="1"/>
  <c r="K35" i="3"/>
  <c r="C29" i="18" l="1"/>
  <c r="K28" i="18"/>
  <c r="I28" i="18" s="1"/>
  <c r="E30" i="15"/>
  <c r="J30" i="15"/>
  <c r="L30" i="15"/>
  <c r="G30" i="15"/>
  <c r="K30" i="15" s="1"/>
  <c r="J35" i="3"/>
  <c r="L35" i="3"/>
  <c r="M35" i="3" s="1"/>
  <c r="D36" i="3" s="1"/>
  <c r="N35" i="3"/>
  <c r="C36" i="3" s="1"/>
  <c r="D29" i="18" l="1"/>
  <c r="H30" i="15"/>
  <c r="C31" i="15" s="1"/>
  <c r="M30" i="15"/>
  <c r="I30" i="15" s="1"/>
  <c r="D31" i="15" s="1"/>
  <c r="G36" i="3"/>
  <c r="E36" i="3"/>
  <c r="I36" i="3"/>
  <c r="E29" i="18" l="1"/>
  <c r="F29" i="18"/>
  <c r="F31" i="15"/>
  <c r="E31" i="15"/>
  <c r="F36" i="3"/>
  <c r="F37" i="3" s="1"/>
  <c r="K36" i="3"/>
  <c r="G29" i="18" l="1"/>
  <c r="J29" i="18"/>
  <c r="H29" i="18" s="1"/>
  <c r="J31" i="15"/>
  <c r="G31" i="15"/>
  <c r="L31" i="15"/>
  <c r="J36" i="3"/>
  <c r="H36" i="3"/>
  <c r="L36" i="3"/>
  <c r="K37" i="3"/>
  <c r="N36" i="3"/>
  <c r="C30" i="18" l="1"/>
  <c r="K29" i="18"/>
  <c r="I29" i="18" s="1"/>
  <c r="M31" i="15"/>
  <c r="K31" i="15"/>
  <c r="H31" i="15"/>
  <c r="C32" i="15" s="1"/>
  <c r="L37" i="3"/>
  <c r="M36" i="3"/>
  <c r="D30" i="18" l="1"/>
  <c r="I31" i="15"/>
  <c r="D32" i="15" s="1"/>
  <c r="E30" i="18" l="1"/>
  <c r="F30" i="18"/>
  <c r="E32" i="15"/>
  <c r="F32" i="15"/>
  <c r="G30" i="18" l="1"/>
  <c r="J30" i="18"/>
  <c r="H30" i="18" s="1"/>
  <c r="G32" i="15"/>
  <c r="L32" i="15"/>
  <c r="J32" i="15"/>
  <c r="C31" i="18" l="1"/>
  <c r="K30" i="18"/>
  <c r="I30" i="18" s="1"/>
  <c r="H32" i="15"/>
  <c r="C33" i="15" s="1"/>
  <c r="K32" i="15"/>
  <c r="M32" i="15"/>
  <c r="D31" i="18" l="1"/>
  <c r="I32" i="15"/>
  <c r="D33" i="15" s="1"/>
  <c r="F33" i="15" s="1"/>
  <c r="J33" i="15" s="1"/>
  <c r="F31" i="18" l="1"/>
  <c r="E31" i="18"/>
  <c r="E33" i="15"/>
  <c r="G33" i="15"/>
  <c r="K33" i="15" s="1"/>
  <c r="L33" i="15"/>
  <c r="H33" i="15" s="1"/>
  <c r="G31" i="18" l="1"/>
  <c r="J31" i="18"/>
  <c r="H31" i="18" s="1"/>
  <c r="M33" i="15"/>
  <c r="I33" i="15" s="1"/>
  <c r="C32" i="18" l="1"/>
  <c r="K31" i="18"/>
  <c r="I31" i="18" s="1"/>
  <c r="D32" i="18" l="1"/>
  <c r="E32" i="18" l="1"/>
  <c r="F32" i="18"/>
  <c r="G32" i="18" l="1"/>
  <c r="J32" i="18"/>
  <c r="H32" i="18" s="1"/>
  <c r="C33" i="18" l="1"/>
  <c r="K32" i="18"/>
  <c r="I32" i="18" s="1"/>
  <c r="D33" i="18" l="1"/>
  <c r="E33" i="18" l="1"/>
  <c r="F33" i="18"/>
  <c r="G33" i="18" l="1"/>
  <c r="J33" i="18"/>
  <c r="H33" i="18" s="1"/>
  <c r="C34" i="18" l="1"/>
  <c r="K33" i="18"/>
  <c r="I33" i="18" s="1"/>
  <c r="D34" i="18" l="1"/>
  <c r="F34" i="18" l="1"/>
  <c r="E34" i="18"/>
  <c r="G34" i="18" l="1"/>
  <c r="J34" i="18"/>
  <c r="H34" i="18" s="1"/>
  <c r="K34" i="18" l="1"/>
  <c r="I34"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3"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6" authorId="0" shapeId="0" xr:uid="{00000000-0006-0000-0100-000002000000}">
      <text>
        <r>
          <rPr>
            <b/>
            <sz val="9"/>
            <color indexed="81"/>
            <rFont val="Tahoma"/>
            <family val="2"/>
          </rPr>
          <t>Rachel Thomas:</t>
        </r>
        <r>
          <rPr>
            <sz val="9"/>
            <color indexed="81"/>
            <rFont val="Tahoma"/>
            <family val="2"/>
          </rPr>
          <t xml:space="preserve">
x values are randomly chosen.  For CNNs, x would be our image data</t>
        </r>
      </text>
    </comment>
    <comment ref="C6" authorId="0" shapeId="0" xr:uid="{00000000-0006-0000-0100-00000300000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3"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7" authorId="0" shapeId="0" xr:uid="{00000000-0006-0000-0200-00000300000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7" authorId="1" shapeId="0" xr:uid="{00000000-0006-0000-0200-000004000000}">
      <text>
        <r>
          <rPr>
            <b/>
            <sz val="9"/>
            <color indexed="81"/>
            <rFont val="Tahoma"/>
            <family val="2"/>
          </rPr>
          <t>Rachel Thomas:</t>
        </r>
        <r>
          <rPr>
            <sz val="9"/>
            <color indexed="81"/>
            <rFont val="Tahoma"/>
            <family val="2"/>
          </rPr>
          <t xml:space="preserve">
calculating numerically
</t>
        </r>
      </text>
    </comment>
    <comment ref="K7" authorId="1" shapeId="0" xr:uid="{00000000-0006-0000-0200-00000500000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8" authorId="0" shapeId="0" xr:uid="{00000000-0006-0000-0200-000006000000}">
      <text>
        <r>
          <rPr>
            <b/>
            <sz val="9"/>
            <color indexed="81"/>
            <rFont val="Tahoma"/>
            <family val="2"/>
          </rPr>
          <t>Jeremy Howard:</t>
        </r>
        <r>
          <rPr>
            <sz val="9"/>
            <color indexed="81"/>
            <rFont val="Tahoma"/>
            <family val="2"/>
          </rPr>
          <t xml:space="preserve">
This is our guess for the first row of data</t>
        </r>
      </text>
    </comment>
    <comment ref="M8"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9" authorId="0" shapeId="0" xr:uid="{00000000-0006-0000-0200-00000800000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<sst xmlns="http://schemas.openxmlformats.org/spreadsheetml/2006/main" count="122" uniqueCount="93">
  <si>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</si>
  <si>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</si>
  <si>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</si>
  <si>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</si>
  <si>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</si>
  <si>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</si>
  <si>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</si>
  <si>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</si>
  <si>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</si>
  <si>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</si>
  <si>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</si>
  <si>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</si>
  <si>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</si>
  <si>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</si>
  <si>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</si>
  <si>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</si>
  <si>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</si>
  <si>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</si>
  <si>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</si>
  <si>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</si>
  <si>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</si>
  <si>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</si>
  <si>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</si>
  <si>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</si>
  <si>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</si>
  <si>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</si>
  <si>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</si>
  <si>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</si>
  <si>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</si>
  <si>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</si>
  <si>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</si>
  <si>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</si>
  <si>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</si>
  <si>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</si>
  <si>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</si>
  <si>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</si>
  <si>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</si>
  <si>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</si>
  <si>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</si>
  <si>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</si>
  <si>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</si>
  <si>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</si>
  <si>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</si>
  <si>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</si>
  <si>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</si>
  <si>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</si>
  <si>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</si>
  <si>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</si>
  <si>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</si>
  <si>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</si>
  <si>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</si>
  <si>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</si>
  <si>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</si>
  <si>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</si>
  <si>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</si>
  <si>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</si>
  <si>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</si>
  <si>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</si>
  <si>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</si>
  <si>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</si>
  <si>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</si>
  <si>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</si>
  <si>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</si>
  <si>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</si>
  <si>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</si>
  <si>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IMPLEMENT GRADIENT DESCENT RANDOMLY</t>
  </si>
  <si>
    <t>We want to take the data</t>
  </si>
  <si>
    <t>and learn the parameters</t>
  </si>
  <si>
    <t>Go to next sheet</t>
  </si>
  <si>
    <t>^^ 5 epochs</t>
  </si>
  <si>
    <r>
      <t xml:space="preserve">make prediction + find error --&gt; then update C1 and C2 to try and decrease error --&gt; </t>
    </r>
    <r>
      <rPr>
        <b/>
        <sz val="11"/>
        <color theme="1"/>
        <rFont val="Calibri"/>
        <family val="2"/>
        <scheme val="minor"/>
      </rPr>
      <t>finding the derivative through finite differences</t>
    </r>
  </si>
  <si>
    <t>increase intercept to see error</t>
  </si>
  <si>
    <t>increase slope to see error</t>
  </si>
  <si>
    <t xml:space="preserve">derivative </t>
  </si>
  <si>
    <t>negative = increase slope, loss goes down</t>
  </si>
  <si>
    <t>negative = increase intercept, loss goes down</t>
  </si>
  <si>
    <t>analytically get derivatives</t>
  </si>
  <si>
    <t>similar to finite differencing result</t>
  </si>
  <si>
    <t>derivative (DV change/IV change)</t>
  </si>
  <si>
    <t>the negative b says if we decrease b</t>
  </si>
  <si>
    <t>we decrease loss, so we want to</t>
  </si>
  <si>
    <t>increase by some multiple calculated</t>
  </si>
  <si>
    <t>via the LR (F3)</t>
  </si>
  <si>
    <t>&lt;-- online gradient descent (mini batch of size 1)</t>
  </si>
  <si>
    <t>&lt;-- mini batch of size 1 # 2</t>
  </si>
  <si>
    <t>&lt;- end of epoch, take these a + b valued + plug into C1 + C2</t>
  </si>
  <si>
    <t>start by assuming some intercepts + slope (randomly initialized weights) --&gt; TAKES A LONG TIME TO GET A = 2, B = 30</t>
  </si>
  <si>
    <t>NOTE THAT FINITE DIFFERENCING IS REMOVE TO SIMPLIFY SHEET</t>
  </si>
  <si>
    <t>LINEAR INTERPOLATION BETWEEN CURRENT ROW'S/MINI-BATCH'S DERIVATIVE + THE DIRECTION WE WENT LAST TIME (PREVIOUS ROW/MB)</t>
  </si>
  <si>
    <t>MOMENTUM tuning parameter</t>
  </si>
  <si>
    <t>exponentially weighted moving average</t>
  </si>
  <si>
    <t>Momentum 1</t>
  </si>
  <si>
    <t>Momentum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</si>
</sst>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1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4" fillId="2" borderId="0" xfId="0" applyFont="1" applyFill="1"/>
    <xf numFmtId="0" fontId="0" fillId="2" borderId="0" xfId="0" applyFill="1"/>
    <xf numFmtId="0" fontId="0" fillId="2" borderId="9" xfId="0" applyFill="1" applyBorder="1"/>
    <xf numFmtId="0" fontId="0" fillId="3" borderId="0" xfId="0" applyFill="1"/>
    <xf numFmtId="0" fontId="4" fillId="3" borderId="0" xfId="0" applyFont="1" applyFill="1"/>
    <xf numFmtId="164" fontId="0" fillId="3" borderId="0" xfId="0" applyNumberFormat="1" applyFill="1"/>
    <xf numFmtId="2" fontId="0" fillId="3" borderId="0" xfId="0" applyNumberFormat="1" applyFill="1"/>
    <xf numFmtId="0" fontId="1" fillId="0" borderId="0" xfId="0" applyFont="1" applyAlignment="1">
      <alignment wrapText="1"/>
    </xf>
    <xf numFmtId="0" fontId="1" fillId="3"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SGD'!$C$42:$C$66</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140677</xdr:colOff>
      <xdr:row>4</xdr:row>
      <xdr:rowOff>0</xdr:rowOff>
    </xdr:from>
    <xdr:to>
      <xdr:col>3</xdr:col>
      <xdr:colOff>586154</xdr:colOff>
      <xdr:row>5</xdr:row>
      <xdr:rowOff>169985</xdr:rowOff>
    </xdr:to>
    <xdr:cxnSp macro="">
      <xdr:nvCxnSpPr>
        <xdr:cNvPr id="3" name="Straight Arrow Connector 2">
          <a:extLst>
            <a:ext uri="{FF2B5EF4-FFF2-40B4-BE49-F238E27FC236}">
              <a16:creationId xmlns:a16="http://schemas.microsoft.com/office/drawing/2014/main" id="{00000000-0008-0000-0100-000003000000}"/>
            </a:ext>
          </a:extLst>
        </xdr:cNvPr>
        <xdr:cNvCxnSpPr/>
      </xdr:nvCxnSpPr>
      <xdr:spPr>
        <a:xfrm flipH="1">
          <a:off x="1969477" y="726831"/>
          <a:ext cx="445477" cy="3516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175846</xdr:colOff>
      <xdr:row>3</xdr:row>
      <xdr:rowOff>82062</xdr:rowOff>
    </xdr:from>
    <xdr:to>
      <xdr:col>3</xdr:col>
      <xdr:colOff>498232</xdr:colOff>
      <xdr:row>5</xdr:row>
      <xdr:rowOff>111370</xdr:rowOff>
    </xdr:to>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flipH="1" flipV="1">
          <a:off x="2004646" y="627185"/>
          <a:ext cx="322386" cy="39272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39</xdr:row>
      <xdr:rowOff>59795</xdr:rowOff>
    </xdr:from>
    <xdr:to>
      <xdr:col>9</xdr:col>
      <xdr:colOff>537103</xdr:colOff>
      <xdr:row>54</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7620</xdr:rowOff>
        </xdr:from>
        <xdr:to>
          <xdr:col>1</xdr:col>
          <xdr:colOff>0</xdr:colOff>
          <xdr:row>1</xdr:row>
          <xdr:rowOff>213360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22860</xdr:rowOff>
        </xdr:from>
        <xdr:to>
          <xdr:col>1</xdr:col>
          <xdr:colOff>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9</xdr:col>
      <xdr:colOff>596348</xdr:colOff>
      <xdr:row>4</xdr:row>
      <xdr:rowOff>69273</xdr:rowOff>
    </xdr:from>
    <xdr:to>
      <xdr:col>10</xdr:col>
      <xdr:colOff>249384</xdr:colOff>
      <xdr:row>6</xdr:row>
      <xdr:rowOff>165652</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10906539" y="943916"/>
          <a:ext cx="381906" cy="53370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3305908</xdr:colOff>
      <xdr:row>3</xdr:row>
      <xdr:rowOff>29308</xdr:rowOff>
    </xdr:from>
    <xdr:to>
      <xdr:col>8</xdr:col>
      <xdr:colOff>193432</xdr:colOff>
      <xdr:row>6</xdr:row>
      <xdr:rowOff>158261</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flipH="1">
          <a:off x="9448800" y="697523"/>
          <a:ext cx="293078" cy="797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71717</xdr:colOff>
      <xdr:row>5</xdr:row>
      <xdr:rowOff>116541</xdr:rowOff>
    </xdr:from>
    <xdr:to>
      <xdr:col>12</xdr:col>
      <xdr:colOff>161365</xdr:colOff>
      <xdr:row>7</xdr:row>
      <xdr:rowOff>89647</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12183035" y="1237129"/>
          <a:ext cx="1712259" cy="37651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717176</xdr:colOff>
      <xdr:row>5</xdr:row>
      <xdr:rowOff>125506</xdr:rowOff>
    </xdr:from>
    <xdr:to>
      <xdr:col>12</xdr:col>
      <xdr:colOff>116543</xdr:colOff>
      <xdr:row>6</xdr:row>
      <xdr:rowOff>152400</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3617388" y="1246094"/>
          <a:ext cx="233084" cy="25101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1</xdr:row>
          <xdr:rowOff>7620</xdr:rowOff>
        </xdr:from>
        <xdr:to>
          <xdr:col>0</xdr:col>
          <xdr:colOff>640080</xdr:colOff>
          <xdr:row>1</xdr:row>
          <xdr:rowOff>182880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0</xdr:col>
          <xdr:colOff>640080</xdr:colOff>
          <xdr:row>2</xdr:row>
          <xdr:rowOff>182880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1</xdr:row>
          <xdr:rowOff>7620</xdr:rowOff>
        </xdr:from>
        <xdr:to>
          <xdr:col>1</xdr:col>
          <xdr:colOff>0</xdr:colOff>
          <xdr:row>2</xdr:row>
          <xdr:rowOff>3586</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0</xdr:colOff>
          <xdr:row>3</xdr:row>
          <xdr:rowOff>3586</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35"/>
  <sheetViews>
    <sheetView zoomScale="70" zoomScaleNormal="70" workbookViewId="0">
      <selection activeCell="A37" sqref="A37"/>
    </sheetView>
  </sheetViews>
  <sheetFormatPr defaultColWidth="9.109375" defaultRowHeight="18" x14ac:dyDescent="0.35"/>
  <cols>
    <col min="1" max="1" width="15.77734375" style="13" customWidth="1"/>
    <col min="2" max="2" width="160.33203125" style="14" customWidth="1"/>
    <col min="3" max="16384" width="9.109375" style="13"/>
  </cols>
  <sheetData>
    <row r="1" spans="1:1" x14ac:dyDescent="0.35">
      <c r="A1" s="12" t="s">
        <v>25</v>
      </c>
    </row>
    <row r="2" spans="1:1" x14ac:dyDescent="0.35">
      <c r="A2" s="13" t="s">
        <v>27</v>
      </c>
    </row>
    <row r="3" spans="1:1" x14ac:dyDescent="0.35">
      <c r="A3" s="13" t="s">
        <v>26</v>
      </c>
    </row>
    <row r="5" spans="1:1" x14ac:dyDescent="0.35">
      <c r="A5" s="15" t="s">
        <v>49</v>
      </c>
    </row>
    <row r="6" spans="1:1" x14ac:dyDescent="0.35">
      <c r="A6" s="16" t="s">
        <v>50</v>
      </c>
    </row>
    <row r="7" spans="1:1" x14ac:dyDescent="0.35">
      <c r="A7" s="12"/>
    </row>
    <row r="8" spans="1:1" x14ac:dyDescent="0.35">
      <c r="A8" s="12" t="s">
        <v>45</v>
      </c>
    </row>
    <row r="9" spans="1:1" x14ac:dyDescent="0.35">
      <c r="A9" s="13" t="s">
        <v>47</v>
      </c>
    </row>
    <row r="10" spans="1:1" x14ac:dyDescent="0.35">
      <c r="A10" s="13" t="s">
        <v>48</v>
      </c>
    </row>
    <row r="11" spans="1:1" x14ac:dyDescent="0.35">
      <c r="A11" s="13" t="s">
        <v>46</v>
      </c>
    </row>
    <row r="12" spans="1:1" x14ac:dyDescent="0.35">
      <c r="A12" s="12"/>
    </row>
    <row r="13" spans="1:1" x14ac:dyDescent="0.35">
      <c r="A13" s="13" t="s">
        <v>51</v>
      </c>
    </row>
    <row r="14" spans="1:1" x14ac:dyDescent="0.35">
      <c r="A14" s="13" t="s">
        <v>52</v>
      </c>
    </row>
    <row r="15" spans="1:1" x14ac:dyDescent="0.35">
      <c r="A15" s="12"/>
    </row>
    <row r="16" spans="1:1" ht="18.600000000000001" thickBot="1" x14ac:dyDescent="0.4">
      <c r="A16" s="12" t="s">
        <v>36</v>
      </c>
    </row>
    <row r="17" spans="1:2" ht="36" x14ac:dyDescent="0.35">
      <c r="A17" s="17" t="s">
        <v>28</v>
      </c>
      <c r="B17" s="18" t="s">
        <v>55</v>
      </c>
    </row>
    <row r="18" spans="1:2" ht="36" x14ac:dyDescent="0.35">
      <c r="A18" s="19"/>
      <c r="B18" s="20" t="s">
        <v>29</v>
      </c>
    </row>
    <row r="19" spans="1:2" ht="18.600000000000001" thickBot="1" x14ac:dyDescent="0.4">
      <c r="A19" s="21"/>
      <c r="B19" s="22" t="s">
        <v>56</v>
      </c>
    </row>
    <row r="20" spans="1:2" ht="36" x14ac:dyDescent="0.35">
      <c r="A20" s="17" t="s">
        <v>30</v>
      </c>
      <c r="B20" s="18" t="s">
        <v>57</v>
      </c>
    </row>
    <row r="21" spans="1:2" ht="36.6" thickBot="1" x14ac:dyDescent="0.4">
      <c r="A21" s="21"/>
      <c r="B21" s="22" t="s">
        <v>32</v>
      </c>
    </row>
    <row r="22" spans="1:2" x14ac:dyDescent="0.35">
      <c r="A22" s="17" t="s">
        <v>33</v>
      </c>
      <c r="B22" s="18" t="s">
        <v>58</v>
      </c>
    </row>
    <row r="23" spans="1:2" ht="18.600000000000001" thickBot="1" x14ac:dyDescent="0.4">
      <c r="A23" s="23"/>
      <c r="B23" s="22" t="s">
        <v>59</v>
      </c>
    </row>
    <row r="24" spans="1:2" ht="18.600000000000001" thickBot="1" x14ac:dyDescent="0.4">
      <c r="A24" s="24" t="s">
        <v>34</v>
      </c>
      <c r="B24" s="25" t="s">
        <v>60</v>
      </c>
    </row>
    <row r="25" spans="1:2" ht="18.600000000000001" thickBot="1" x14ac:dyDescent="0.4">
      <c r="A25" s="24" t="s">
        <v>35</v>
      </c>
      <c r="B25" s="25" t="s">
        <v>61</v>
      </c>
    </row>
    <row r="26" spans="1:2" ht="18.600000000000001" thickBot="1" x14ac:dyDescent="0.4">
      <c r="A26" s="24" t="s">
        <v>37</v>
      </c>
      <c r="B26" s="25" t="s">
        <v>38</v>
      </c>
    </row>
    <row r="27" spans="1:2" ht="18.600000000000001" thickBot="1" x14ac:dyDescent="0.4">
      <c r="A27" s="24" t="s">
        <v>39</v>
      </c>
      <c r="B27" s="25" t="s">
        <v>62</v>
      </c>
    </row>
    <row r="28" spans="1:2" ht="18.600000000000001" thickBot="1" x14ac:dyDescent="0.4">
      <c r="A28" s="24" t="s">
        <v>40</v>
      </c>
      <c r="B28" s="25" t="s">
        <v>41</v>
      </c>
    </row>
    <row r="29" spans="1:2" ht="18.600000000000001" thickBot="1" x14ac:dyDescent="0.4">
      <c r="A29" s="24" t="s">
        <v>42</v>
      </c>
      <c r="B29" s="25" t="s">
        <v>43</v>
      </c>
    </row>
    <row r="30" spans="1:2" x14ac:dyDescent="0.35">
      <c r="A30" s="12"/>
    </row>
    <row r="31" spans="1:2" x14ac:dyDescent="0.35">
      <c r="A31" s="12"/>
      <c r="B31" s="14" t="s">
        <v>63</v>
      </c>
    </row>
    <row r="32" spans="1:2" x14ac:dyDescent="0.35">
      <c r="A32" s="12"/>
      <c r="B32" s="14" t="s">
        <v>64</v>
      </c>
    </row>
    <row r="34" spans="1:1" x14ac:dyDescent="0.35">
      <c r="A34" s="12" t="s">
        <v>53</v>
      </c>
    </row>
    <row r="35" spans="1:1" x14ac:dyDescent="0.35">
      <c r="A35" s="12" t="s">
        <v>54</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E35"/>
  <sheetViews>
    <sheetView zoomScale="115" zoomScaleNormal="115" workbookViewId="0">
      <selection activeCell="E9" sqref="E9"/>
    </sheetView>
  </sheetViews>
  <sheetFormatPr defaultRowHeight="14.4" x14ac:dyDescent="0.3"/>
  <sheetData>
    <row r="1" spans="1:5" x14ac:dyDescent="0.3">
      <c r="A1" s="11" t="s">
        <v>65</v>
      </c>
    </row>
    <row r="2" spans="1:5" x14ac:dyDescent="0.3">
      <c r="A2" t="s">
        <v>44</v>
      </c>
    </row>
    <row r="3" spans="1:5" x14ac:dyDescent="0.3">
      <c r="A3" t="s">
        <v>21</v>
      </c>
      <c r="B3" t="s">
        <v>23</v>
      </c>
      <c r="C3">
        <v>30</v>
      </c>
    </row>
    <row r="4" spans="1:5" x14ac:dyDescent="0.3">
      <c r="A4" t="s">
        <v>22</v>
      </c>
      <c r="B4" t="s">
        <v>0</v>
      </c>
      <c r="C4">
        <v>2</v>
      </c>
      <c r="E4" t="s">
        <v>66</v>
      </c>
    </row>
    <row r="6" spans="1:5" x14ac:dyDescent="0.3">
      <c r="B6" t="s">
        <v>15</v>
      </c>
      <c r="C6" t="s">
        <v>31</v>
      </c>
      <c r="E6" t="s">
        <v>67</v>
      </c>
    </row>
    <row r="7" spans="1:5" x14ac:dyDescent="0.3">
      <c r="B7">
        <f t="shared" ref="B7:B35" ca="1" si="0">RANDBETWEEN(1,100)</f>
        <v>79</v>
      </c>
      <c r="C7">
        <f ca="1">$C$3+B7*$C$4</f>
        <v>188</v>
      </c>
    </row>
    <row r="8" spans="1:5" x14ac:dyDescent="0.3">
      <c r="B8">
        <f t="shared" ca="1" si="0"/>
        <v>65</v>
      </c>
      <c r="C8">
        <f t="shared" ref="C8:C35" ca="1" si="1">$C$3+B8*$C$4</f>
        <v>160</v>
      </c>
      <c r="E8" t="s">
        <v>68</v>
      </c>
    </row>
    <row r="9" spans="1:5" x14ac:dyDescent="0.3">
      <c r="B9">
        <f t="shared" ca="1" si="0"/>
        <v>29</v>
      </c>
      <c r="C9">
        <f t="shared" ca="1" si="1"/>
        <v>88</v>
      </c>
    </row>
    <row r="10" spans="1:5" x14ac:dyDescent="0.3">
      <c r="B10">
        <f t="shared" ca="1" si="0"/>
        <v>97</v>
      </c>
      <c r="C10">
        <f t="shared" ca="1" si="1"/>
        <v>224</v>
      </c>
    </row>
    <row r="11" spans="1:5" x14ac:dyDescent="0.3">
      <c r="B11">
        <f t="shared" ca="1" si="0"/>
        <v>58</v>
      </c>
      <c r="C11">
        <f t="shared" ca="1" si="1"/>
        <v>146</v>
      </c>
    </row>
    <row r="12" spans="1:5" x14ac:dyDescent="0.3">
      <c r="B12">
        <f t="shared" ca="1" si="0"/>
        <v>67</v>
      </c>
      <c r="C12">
        <f t="shared" ca="1" si="1"/>
        <v>164</v>
      </c>
    </row>
    <row r="13" spans="1:5" x14ac:dyDescent="0.3">
      <c r="B13">
        <f t="shared" ca="1" si="0"/>
        <v>7</v>
      </c>
      <c r="C13">
        <f t="shared" ca="1" si="1"/>
        <v>44</v>
      </c>
    </row>
    <row r="14" spans="1:5" x14ac:dyDescent="0.3">
      <c r="B14">
        <f t="shared" ca="1" si="0"/>
        <v>44</v>
      </c>
      <c r="C14">
        <f t="shared" ca="1" si="1"/>
        <v>118</v>
      </c>
    </row>
    <row r="15" spans="1:5" x14ac:dyDescent="0.3">
      <c r="B15">
        <f t="shared" ca="1" si="0"/>
        <v>80</v>
      </c>
      <c r="C15">
        <f t="shared" ca="1" si="1"/>
        <v>190</v>
      </c>
    </row>
    <row r="16" spans="1:5" x14ac:dyDescent="0.3">
      <c r="B16">
        <f t="shared" ca="1" si="0"/>
        <v>29</v>
      </c>
      <c r="C16">
        <f t="shared" ca="1" si="1"/>
        <v>88</v>
      </c>
    </row>
    <row r="17" spans="2:3" x14ac:dyDescent="0.3">
      <c r="B17">
        <f t="shared" ca="1" si="0"/>
        <v>83</v>
      </c>
      <c r="C17">
        <f t="shared" ca="1" si="1"/>
        <v>196</v>
      </c>
    </row>
    <row r="18" spans="2:3" x14ac:dyDescent="0.3">
      <c r="B18">
        <f t="shared" ca="1" si="0"/>
        <v>81</v>
      </c>
      <c r="C18">
        <f t="shared" ca="1" si="1"/>
        <v>192</v>
      </c>
    </row>
    <row r="19" spans="2:3" x14ac:dyDescent="0.3">
      <c r="B19">
        <f t="shared" ca="1" si="0"/>
        <v>93</v>
      </c>
      <c r="C19">
        <f t="shared" ca="1" si="1"/>
        <v>216</v>
      </c>
    </row>
    <row r="20" spans="2:3" x14ac:dyDescent="0.3">
      <c r="B20">
        <f t="shared" ca="1" si="0"/>
        <v>56</v>
      </c>
      <c r="C20">
        <f t="shared" ca="1" si="1"/>
        <v>142</v>
      </c>
    </row>
    <row r="21" spans="2:3" x14ac:dyDescent="0.3">
      <c r="B21">
        <f t="shared" ca="1" si="0"/>
        <v>54</v>
      </c>
      <c r="C21">
        <f t="shared" ca="1" si="1"/>
        <v>138</v>
      </c>
    </row>
    <row r="22" spans="2:3" x14ac:dyDescent="0.3">
      <c r="B22">
        <f t="shared" ca="1" si="0"/>
        <v>52</v>
      </c>
      <c r="C22">
        <f t="shared" ca="1" si="1"/>
        <v>134</v>
      </c>
    </row>
    <row r="23" spans="2:3" x14ac:dyDescent="0.3">
      <c r="B23">
        <f t="shared" ca="1" si="0"/>
        <v>5</v>
      </c>
      <c r="C23">
        <f t="shared" ca="1" si="1"/>
        <v>40</v>
      </c>
    </row>
    <row r="24" spans="2:3" x14ac:dyDescent="0.3">
      <c r="B24">
        <f t="shared" ca="1" si="0"/>
        <v>29</v>
      </c>
      <c r="C24">
        <f t="shared" ca="1" si="1"/>
        <v>88</v>
      </c>
    </row>
    <row r="25" spans="2:3" x14ac:dyDescent="0.3">
      <c r="B25">
        <f t="shared" ca="1" si="0"/>
        <v>73</v>
      </c>
      <c r="C25">
        <f t="shared" ca="1" si="1"/>
        <v>176</v>
      </c>
    </row>
    <row r="26" spans="2:3" x14ac:dyDescent="0.3">
      <c r="B26">
        <f t="shared" ca="1" si="0"/>
        <v>25</v>
      </c>
      <c r="C26">
        <f t="shared" ca="1" si="1"/>
        <v>80</v>
      </c>
    </row>
    <row r="27" spans="2:3" x14ac:dyDescent="0.3">
      <c r="B27">
        <f t="shared" ca="1" si="0"/>
        <v>84</v>
      </c>
      <c r="C27">
        <f t="shared" ca="1" si="1"/>
        <v>198</v>
      </c>
    </row>
    <row r="28" spans="2:3" x14ac:dyDescent="0.3">
      <c r="B28">
        <f t="shared" ca="1" si="0"/>
        <v>95</v>
      </c>
      <c r="C28">
        <f t="shared" ca="1" si="1"/>
        <v>220</v>
      </c>
    </row>
    <row r="29" spans="2:3" x14ac:dyDescent="0.3">
      <c r="B29">
        <f t="shared" ca="1" si="0"/>
        <v>54</v>
      </c>
      <c r="C29">
        <f t="shared" ca="1" si="1"/>
        <v>138</v>
      </c>
    </row>
    <row r="30" spans="2:3" x14ac:dyDescent="0.3">
      <c r="B30">
        <f t="shared" ca="1" si="0"/>
        <v>81</v>
      </c>
      <c r="C30">
        <f t="shared" ca="1" si="1"/>
        <v>192</v>
      </c>
    </row>
    <row r="31" spans="2:3" x14ac:dyDescent="0.3">
      <c r="B31">
        <f t="shared" ca="1" si="0"/>
        <v>57</v>
      </c>
      <c r="C31">
        <f t="shared" ca="1" si="1"/>
        <v>144</v>
      </c>
    </row>
    <row r="32" spans="2:3" x14ac:dyDescent="0.3">
      <c r="B32">
        <f t="shared" ca="1" si="0"/>
        <v>44</v>
      </c>
      <c r="C32">
        <f t="shared" ca="1" si="1"/>
        <v>118</v>
      </c>
    </row>
    <row r="33" spans="2:3" x14ac:dyDescent="0.3">
      <c r="B33">
        <f t="shared" ca="1" si="0"/>
        <v>85</v>
      </c>
      <c r="C33">
        <f t="shared" ca="1" si="1"/>
        <v>200</v>
      </c>
    </row>
    <row r="34" spans="2:3" x14ac:dyDescent="0.3">
      <c r="B34">
        <f t="shared" ca="1" si="0"/>
        <v>72</v>
      </c>
      <c r="C34">
        <f t="shared" ca="1" si="1"/>
        <v>174</v>
      </c>
    </row>
    <row r="35" spans="2:3" x14ac:dyDescent="0.3">
      <c r="B35">
        <f t="shared" ca="1" si="0"/>
        <v>88</v>
      </c>
      <c r="C35">
        <f t="shared" ca="1" si="1"/>
        <v>206</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P51"/>
  <sheetViews>
    <sheetView zoomScale="55" zoomScaleNormal="55" workbookViewId="0">
      <pane ySplit="7" topLeftCell="A8" activePane="bottomLeft" state="frozen"/>
      <selection pane="bottomLeft" activeCell="T1" sqref="T1"/>
    </sheetView>
  </sheetViews>
  <sheetFormatPr defaultRowHeight="14.4" x14ac:dyDescent="0.3"/>
  <cols>
    <col min="1" max="1" width="7" customWidth="1"/>
    <col min="2" max="2" width="7.88671875" bestFit="1" customWidth="1"/>
    <col min="3" max="3" width="8.88671875" customWidth="1"/>
    <col min="4" max="4" width="7" customWidth="1"/>
    <col min="5" max="5" width="24.44140625" customWidth="1"/>
    <col min="6" max="6" width="6.88671875" bestFit="1" customWidth="1"/>
    <col min="7" max="7" width="27.44140625" customWidth="1"/>
    <col min="8" max="8" width="34.33203125" customWidth="1"/>
    <col min="9" max="9" width="26.5546875" customWidth="1"/>
    <col min="10" max="10" width="10.6640625" customWidth="1"/>
    <col min="11" max="11" width="11.44140625" customWidth="1"/>
    <col min="12" max="12" width="12.109375" customWidth="1"/>
    <col min="13" max="13" width="11.5546875" customWidth="1"/>
    <col min="14" max="14" width="12.88671875" customWidth="1"/>
  </cols>
  <sheetData>
    <row r="1" spans="1:16" ht="17.399999999999999" customHeight="1" x14ac:dyDescent="0.3">
      <c r="B1" t="s">
        <v>19</v>
      </c>
      <c r="C1">
        <v>1.5343626697851309</v>
      </c>
      <c r="D1" s="27" t="s">
        <v>86</v>
      </c>
      <c r="E1" s="27"/>
      <c r="F1" s="27"/>
      <c r="G1" s="27"/>
      <c r="H1" s="27"/>
      <c r="I1" s="27"/>
      <c r="J1" s="27"/>
      <c r="L1" t="s">
        <v>4</v>
      </c>
    </row>
    <row r="2" spans="1:16" ht="17.399999999999999" customHeight="1" x14ac:dyDescent="0.3">
      <c r="B2" t="s">
        <v>0</v>
      </c>
      <c r="C2">
        <v>2.5648589742893724</v>
      </c>
      <c r="H2" t="s">
        <v>3</v>
      </c>
      <c r="K2" t="s">
        <v>5</v>
      </c>
    </row>
    <row r="3" spans="1:16" ht="17.399999999999999" customHeight="1" x14ac:dyDescent="0.3">
      <c r="A3" s="26" t="s">
        <v>69</v>
      </c>
      <c r="B3" s="27"/>
      <c r="E3" t="s">
        <v>14</v>
      </c>
      <c r="F3">
        <v>1E-4</v>
      </c>
      <c r="I3" s="29" t="s">
        <v>75</v>
      </c>
      <c r="J3" s="29"/>
      <c r="K3" s="29"/>
    </row>
    <row r="4" spans="1:16" ht="17.399999999999999" customHeight="1" x14ac:dyDescent="0.3">
      <c r="A4" s="26"/>
      <c r="B4" s="27"/>
      <c r="J4" s="29" t="s">
        <v>74</v>
      </c>
      <c r="K4" s="29"/>
      <c r="L4" s="29"/>
      <c r="M4" s="29"/>
      <c r="P4" s="2" t="s">
        <v>79</v>
      </c>
    </row>
    <row r="5" spans="1:16" ht="17.399999999999999" customHeight="1" thickBot="1" x14ac:dyDescent="0.35">
      <c r="A5" s="26"/>
      <c r="B5" s="27"/>
      <c r="E5" s="27" t="s">
        <v>70</v>
      </c>
      <c r="M5" t="s">
        <v>77</v>
      </c>
      <c r="P5" s="2" t="s">
        <v>80</v>
      </c>
    </row>
    <row r="6" spans="1:16" ht="17.399999999999999" customHeight="1" thickBot="1" x14ac:dyDescent="0.35">
      <c r="A6" s="26"/>
      <c r="B6" s="27"/>
      <c r="E6" s="27"/>
      <c r="G6" s="28" t="s">
        <v>71</v>
      </c>
      <c r="H6" s="28" t="s">
        <v>78</v>
      </c>
      <c r="I6" s="28" t="s">
        <v>72</v>
      </c>
      <c r="J6" s="28" t="s">
        <v>73</v>
      </c>
      <c r="K6" s="28" t="s">
        <v>76</v>
      </c>
      <c r="L6" s="28"/>
      <c r="P6" s="2" t="s">
        <v>81</v>
      </c>
    </row>
    <row r="7" spans="1:16" s="2" customFormat="1" x14ac:dyDescent="0.3">
      <c r="A7" s="2" t="s">
        <v>15</v>
      </c>
      <c r="B7" s="2" t="s">
        <v>16</v>
      </c>
      <c r="C7" s="2" t="s">
        <v>19</v>
      </c>
      <c r="D7" s="2" t="s">
        <v>0</v>
      </c>
      <c r="E7" s="2" t="s">
        <v>17</v>
      </c>
      <c r="F7" s="2" t="s">
        <v>1</v>
      </c>
      <c r="G7" s="2" t="s">
        <v>7</v>
      </c>
      <c r="H7" s="2" t="s">
        <v>10</v>
      </c>
      <c r="I7" s="2" t="s">
        <v>8</v>
      </c>
      <c r="J7" s="2" t="s">
        <v>11</v>
      </c>
      <c r="K7" s="2" t="s">
        <v>6</v>
      </c>
      <c r="L7" s="2" t="s">
        <v>9</v>
      </c>
      <c r="M7" s="2" t="s">
        <v>12</v>
      </c>
      <c r="N7" s="2" t="s">
        <v>13</v>
      </c>
      <c r="P7" s="2" t="s">
        <v>82</v>
      </c>
    </row>
    <row r="8" spans="1:16" x14ac:dyDescent="0.3">
      <c r="A8">
        <v>14</v>
      </c>
      <c r="B8">
        <v>58</v>
      </c>
      <c r="C8">
        <f>C1</f>
        <v>1.5343626697851309</v>
      </c>
      <c r="D8">
        <f>C2</f>
        <v>2.5648589742893724</v>
      </c>
      <c r="E8">
        <f>C8+D8*A8</f>
        <v>37.442388309836346</v>
      </c>
      <c r="F8" s="1">
        <f>(B8-E8)^2</f>
        <v>422.61539840355334</v>
      </c>
      <c r="G8" s="3">
        <f>(((C8+0.01)+A8*D8)-B8)^2</f>
        <v>422.20434616975012</v>
      </c>
      <c r="H8" s="3">
        <f>(G8-F8)/0.01</f>
        <v>-41.105223380321831</v>
      </c>
      <c r="I8" s="3">
        <f>(((D8+0.01)*A8+C8)-B8)^2</f>
        <v>416.87886713030775</v>
      </c>
      <c r="J8" s="3">
        <f>(I8-F8)/0.01</f>
        <v>-573.65312732455891</v>
      </c>
      <c r="K8" s="3">
        <f>2*(E8-B8)</f>
        <v>-41.115223380327308</v>
      </c>
      <c r="L8" s="3">
        <f>K8*A8</f>
        <v>-575.61312732458236</v>
      </c>
      <c r="M8" s="3">
        <f t="shared" ref="M8:M36" si="0">D8-L8*$F$3</f>
        <v>2.6224202870218307</v>
      </c>
      <c r="N8" s="3">
        <f t="shared" ref="N8:N36" si="1">C8-K8*$F$3</f>
        <v>1.5384741921231637</v>
      </c>
      <c r="O8" s="2" t="s">
        <v>83</v>
      </c>
    </row>
    <row r="9" spans="1:16" x14ac:dyDescent="0.3">
      <c r="A9">
        <v>86</v>
      </c>
      <c r="B9">
        <v>202</v>
      </c>
      <c r="C9" s="3">
        <f>N8</f>
        <v>1.5384741921231637</v>
      </c>
      <c r="D9">
        <f>M8</f>
        <v>2.6224202870218307</v>
      </c>
      <c r="E9">
        <f>C9+D9*A9</f>
        <v>227.0666188760006</v>
      </c>
      <c r="F9" s="1">
        <f>(B9-E9)^2</f>
        <v>628.33538187466979</v>
      </c>
      <c r="G9" s="3">
        <f>(((C9+0.01)+A9*D9)-B9)^2</f>
        <v>628.83681425218936</v>
      </c>
      <c r="H9" s="3">
        <f>(G9-F9)/0.01</f>
        <v>50.143237751956349</v>
      </c>
      <c r="I9" s="3">
        <f>(((D9+0.01)*A9+C9)-B9)^2</f>
        <v>672.18956634138999</v>
      </c>
      <c r="J9" s="3">
        <f>(I9-F9)/0.01</f>
        <v>4385.4184466720199</v>
      </c>
      <c r="K9" s="3">
        <f t="shared" ref="K9:K36" si="2">2*(E9-B9)</f>
        <v>50.133237752001207</v>
      </c>
      <c r="L9" s="3">
        <f>K9*A9</f>
        <v>4311.4584466721035</v>
      </c>
      <c r="M9" s="3">
        <f t="shared" si="0"/>
        <v>2.1912744423546204</v>
      </c>
      <c r="N9" s="3">
        <f t="shared" si="1"/>
        <v>1.5334608683479636</v>
      </c>
      <c r="O9" s="2" t="s">
        <v>84</v>
      </c>
    </row>
    <row r="10" spans="1:16" x14ac:dyDescent="0.3">
      <c r="A10">
        <v>28</v>
      </c>
      <c r="B10">
        <v>86</v>
      </c>
      <c r="C10">
        <f>N9</f>
        <v>1.5334608683479636</v>
      </c>
      <c r="D10">
        <f>M9</f>
        <v>2.1912744423546204</v>
      </c>
      <c r="E10">
        <f>C10+D10*A10</f>
        <v>62.889145254277338</v>
      </c>
      <c r="F10" s="1">
        <f t="shared" ref="F10:F36" si="3">(B10-E10)^2</f>
        <v>534.11160707789168</v>
      </c>
      <c r="G10" s="3">
        <f t="shared" ref="G10:G36" si="4">(((C10+0.01)+A10*D10)-B10)^2</f>
        <v>533.64948998297734</v>
      </c>
      <c r="H10" s="3">
        <f t="shared" ref="H10:H36" si="5">(G10-F10)/0.01</f>
        <v>-46.211709491433339</v>
      </c>
      <c r="I10" s="3">
        <f t="shared" ref="I10:I36" si="6">(((D10+0.01)*A10+C10)-B10)^2</f>
        <v>521.24792842028728</v>
      </c>
      <c r="J10" s="3">
        <f t="shared" ref="J10:J36" si="7">(I10-F10)/0.01</f>
        <v>-1286.3678657604396</v>
      </c>
      <c r="K10" s="3">
        <f t="shared" si="2"/>
        <v>-46.221709491445324</v>
      </c>
      <c r="L10" s="3">
        <f t="shared" ref="L10:L36" si="8">K10*A10</f>
        <v>-1294.2078657604691</v>
      </c>
      <c r="M10" s="3">
        <f t="shared" si="0"/>
        <v>2.3206952289306675</v>
      </c>
      <c r="N10" s="3">
        <f t="shared" si="1"/>
        <v>1.5380830392971081</v>
      </c>
    </row>
    <row r="11" spans="1:16" x14ac:dyDescent="0.3">
      <c r="A11">
        <v>51</v>
      </c>
      <c r="B11">
        <v>132</v>
      </c>
      <c r="C11">
        <f t="shared" ref="C11:C36" si="9">N10</f>
        <v>1.5380830392971081</v>
      </c>
      <c r="D11">
        <f t="shared" ref="D11:D36" si="10">M10</f>
        <v>2.3206952289306675</v>
      </c>
      <c r="E11">
        <f t="shared" ref="E11:E36" si="11">C11+D11*A11</f>
        <v>119.89353971476115</v>
      </c>
      <c r="F11" s="1">
        <f t="shared" si="3"/>
        <v>146.56638063806562</v>
      </c>
      <c r="G11" s="3">
        <f t="shared" si="4"/>
        <v>146.32435143236071</v>
      </c>
      <c r="H11" s="3">
        <f t="shared" si="5"/>
        <v>-24.20292057049096</v>
      </c>
      <c r="I11" s="3">
        <f t="shared" si="6"/>
        <v>134.47789114712219</v>
      </c>
      <c r="J11" s="3">
        <f t="shared" si="7"/>
        <v>-1208.848949094343</v>
      </c>
      <c r="K11" s="3">
        <f t="shared" si="2"/>
        <v>-24.212920570477706</v>
      </c>
      <c r="L11" s="3">
        <f t="shared" si="8"/>
        <v>-1234.858949094363</v>
      </c>
      <c r="M11" s="3">
        <f t="shared" si="0"/>
        <v>2.4441811238401039</v>
      </c>
      <c r="N11" s="3">
        <f t="shared" si="1"/>
        <v>1.5405043313541558</v>
      </c>
    </row>
    <row r="12" spans="1:16" x14ac:dyDescent="0.3">
      <c r="A12">
        <v>28</v>
      </c>
      <c r="B12">
        <v>86</v>
      </c>
      <c r="C12">
        <f t="shared" si="9"/>
        <v>1.5405043313541558</v>
      </c>
      <c r="D12">
        <f t="shared" si="10"/>
        <v>2.4441811238401039</v>
      </c>
      <c r="E12">
        <f t="shared" si="11"/>
        <v>69.977575798877069</v>
      </c>
      <c r="F12" s="1">
        <f t="shared" si="3"/>
        <v>256.7180772807298</v>
      </c>
      <c r="G12" s="3">
        <f t="shared" si="4"/>
        <v>256.39772879670716</v>
      </c>
      <c r="H12" s="3">
        <f t="shared" si="5"/>
        <v>-32.034848402264515</v>
      </c>
      <c r="I12" s="3">
        <f t="shared" si="6"/>
        <v>247.82391972810134</v>
      </c>
      <c r="J12" s="3">
        <f t="shared" si="7"/>
        <v>-889.41575526284566</v>
      </c>
      <c r="K12" s="3">
        <f t="shared" si="2"/>
        <v>-32.044848402245862</v>
      </c>
      <c r="L12" s="3">
        <f t="shared" si="8"/>
        <v>-897.25575526288412</v>
      </c>
      <c r="M12" s="3">
        <f t="shared" si="0"/>
        <v>2.5339066993663923</v>
      </c>
      <c r="N12" s="3">
        <f t="shared" si="1"/>
        <v>1.5437088161943804</v>
      </c>
    </row>
    <row r="13" spans="1:16" x14ac:dyDescent="0.3">
      <c r="A13">
        <v>29</v>
      </c>
      <c r="B13">
        <v>88</v>
      </c>
      <c r="C13">
        <f t="shared" si="9"/>
        <v>1.5437088161943804</v>
      </c>
      <c r="D13">
        <f t="shared" si="10"/>
        <v>2.5339066993663923</v>
      </c>
      <c r="E13">
        <f t="shared" si="11"/>
        <v>75.027003097819758</v>
      </c>
      <c r="F13" s="1">
        <f t="shared" si="3"/>
        <v>168.29864862397815</v>
      </c>
      <c r="G13" s="3">
        <f t="shared" si="4"/>
        <v>168.03928868593442</v>
      </c>
      <c r="H13" s="3">
        <f t="shared" si="5"/>
        <v>-25.93599380437297</v>
      </c>
      <c r="I13" s="3">
        <f t="shared" si="6"/>
        <v>160.85841042071382</v>
      </c>
      <c r="J13" s="3">
        <f t="shared" si="7"/>
        <v>-744.02382032643288</v>
      </c>
      <c r="K13" s="3">
        <f t="shared" si="2"/>
        <v>-25.945993804360484</v>
      </c>
      <c r="L13" s="3">
        <f t="shared" si="8"/>
        <v>-752.433820326454</v>
      </c>
      <c r="M13" s="3">
        <f t="shared" si="0"/>
        <v>2.6091500813990378</v>
      </c>
      <c r="N13" s="3">
        <f t="shared" si="1"/>
        <v>1.5463034155748165</v>
      </c>
    </row>
    <row r="14" spans="1:16" x14ac:dyDescent="0.3">
      <c r="A14">
        <v>72</v>
      </c>
      <c r="B14">
        <v>174</v>
      </c>
      <c r="C14">
        <f t="shared" si="9"/>
        <v>1.5463034155748165</v>
      </c>
      <c r="D14">
        <f t="shared" si="10"/>
        <v>2.6091500813990378</v>
      </c>
      <c r="E14">
        <f t="shared" si="11"/>
        <v>189.40510927630552</v>
      </c>
      <c r="F14" s="1">
        <f t="shared" si="3"/>
        <v>237.31739181491449</v>
      </c>
      <c r="G14" s="3">
        <f t="shared" si="4"/>
        <v>237.62559400044032</v>
      </c>
      <c r="H14" s="3">
        <f t="shared" si="5"/>
        <v>30.820218552582901</v>
      </c>
      <c r="I14" s="3">
        <f t="shared" si="6"/>
        <v>260.01914917279441</v>
      </c>
      <c r="J14" s="3">
        <f t="shared" si="7"/>
        <v>2270.1757357879928</v>
      </c>
      <c r="K14" s="3">
        <f t="shared" si="2"/>
        <v>30.810218552611047</v>
      </c>
      <c r="L14" s="3">
        <f t="shared" si="8"/>
        <v>2218.3357357879954</v>
      </c>
      <c r="M14" s="3">
        <f t="shared" si="0"/>
        <v>2.3873165078202381</v>
      </c>
      <c r="N14" s="3">
        <f t="shared" si="1"/>
        <v>1.5432223937195555</v>
      </c>
    </row>
    <row r="15" spans="1:16" x14ac:dyDescent="0.3">
      <c r="A15">
        <v>62</v>
      </c>
      <c r="B15">
        <v>154</v>
      </c>
      <c r="C15">
        <f t="shared" si="9"/>
        <v>1.5432223937195555</v>
      </c>
      <c r="D15">
        <f t="shared" si="10"/>
        <v>2.3873165078202381</v>
      </c>
      <c r="E15">
        <f t="shared" si="11"/>
        <v>149.55684587857431</v>
      </c>
      <c r="F15" s="1">
        <f t="shared" si="3"/>
        <v>19.741618546742117</v>
      </c>
      <c r="G15" s="3">
        <f t="shared" si="4"/>
        <v>19.652855464313685</v>
      </c>
      <c r="H15" s="3">
        <f t="shared" si="5"/>
        <v>-8.8763082428432227</v>
      </c>
      <c r="I15" s="3">
        <f t="shared" si="6"/>
        <v>14.616507436174224</v>
      </c>
      <c r="J15" s="3">
        <f t="shared" si="7"/>
        <v>-512.51111105678933</v>
      </c>
      <c r="K15" s="3">
        <f t="shared" si="2"/>
        <v>-8.8863082428513849</v>
      </c>
      <c r="L15" s="3">
        <f t="shared" si="8"/>
        <v>-550.95111105678586</v>
      </c>
      <c r="M15" s="3">
        <f t="shared" si="0"/>
        <v>2.4424116189259166</v>
      </c>
      <c r="N15" s="3">
        <f t="shared" si="1"/>
        <v>1.5441110245438405</v>
      </c>
    </row>
    <row r="16" spans="1:16" x14ac:dyDescent="0.3">
      <c r="A16">
        <v>84</v>
      </c>
      <c r="B16">
        <v>198</v>
      </c>
      <c r="C16">
        <f t="shared" si="9"/>
        <v>1.5441110245438405</v>
      </c>
      <c r="D16">
        <f t="shared" si="10"/>
        <v>2.4424116189259166</v>
      </c>
      <c r="E16">
        <f t="shared" si="11"/>
        <v>206.70668701432083</v>
      </c>
      <c r="F16" s="1">
        <f t="shared" si="3"/>
        <v>75.806398765343047</v>
      </c>
      <c r="G16" s="3">
        <f t="shared" si="4"/>
        <v>75.980632505629316</v>
      </c>
      <c r="H16" s="3">
        <f t="shared" si="5"/>
        <v>17.423374028626881</v>
      </c>
      <c r="I16" s="3">
        <f t="shared" si="6"/>
        <v>91.139232949401574</v>
      </c>
      <c r="J16" s="3">
        <f t="shared" si="7"/>
        <v>1533.2834184058527</v>
      </c>
      <c r="K16" s="3">
        <f t="shared" si="2"/>
        <v>17.41337402864167</v>
      </c>
      <c r="L16" s="3">
        <f t="shared" si="8"/>
        <v>1462.7234184059002</v>
      </c>
      <c r="M16" s="3">
        <f t="shared" si="0"/>
        <v>2.2961392770853264</v>
      </c>
      <c r="N16" s="3">
        <f t="shared" si="1"/>
        <v>1.5423696871409764</v>
      </c>
    </row>
    <row r="17" spans="1:14" x14ac:dyDescent="0.3">
      <c r="A17">
        <v>15</v>
      </c>
      <c r="B17">
        <v>60</v>
      </c>
      <c r="C17">
        <f t="shared" si="9"/>
        <v>1.5423696871409764</v>
      </c>
      <c r="D17">
        <f t="shared" si="10"/>
        <v>2.2961392770853264</v>
      </c>
      <c r="E17">
        <f t="shared" si="11"/>
        <v>35.984458843420875</v>
      </c>
      <c r="F17" s="1">
        <f t="shared" si="3"/>
        <v>576.74621704334584</v>
      </c>
      <c r="G17" s="3">
        <f t="shared" si="4"/>
        <v>576.26600622021431</v>
      </c>
      <c r="H17" s="3">
        <f t="shared" si="5"/>
        <v>-48.021082313152874</v>
      </c>
      <c r="I17" s="3">
        <f t="shared" si="6"/>
        <v>569.56405469637252</v>
      </c>
      <c r="J17" s="3">
        <f t="shared" si="7"/>
        <v>-718.2162346973314</v>
      </c>
      <c r="K17" s="3">
        <f t="shared" si="2"/>
        <v>-48.031082313158251</v>
      </c>
      <c r="L17" s="3">
        <f t="shared" si="8"/>
        <v>-720.46623469737381</v>
      </c>
      <c r="M17" s="3">
        <f t="shared" si="0"/>
        <v>2.3681859005550638</v>
      </c>
      <c r="N17" s="3">
        <f t="shared" si="1"/>
        <v>1.5471727953722922</v>
      </c>
    </row>
    <row r="18" spans="1:14" x14ac:dyDescent="0.3">
      <c r="A18">
        <v>42</v>
      </c>
      <c r="B18">
        <v>114</v>
      </c>
      <c r="C18">
        <f t="shared" si="9"/>
        <v>1.5471727953722922</v>
      </c>
      <c r="D18">
        <f t="shared" si="10"/>
        <v>2.3681859005550638</v>
      </c>
      <c r="E18">
        <f t="shared" si="11"/>
        <v>101.01098061868497</v>
      </c>
      <c r="F18" s="1">
        <f t="shared" si="3"/>
        <v>168.71462448817752</v>
      </c>
      <c r="G18" s="3">
        <f t="shared" si="4"/>
        <v>168.4549441005511</v>
      </c>
      <c r="H18" s="3">
        <f t="shared" si="5"/>
        <v>-25.968038762641754</v>
      </c>
      <c r="I18" s="3">
        <f t="shared" si="6"/>
        <v>157.98024820787288</v>
      </c>
      <c r="J18" s="3">
        <f t="shared" si="7"/>
        <v>-1073.4376280304643</v>
      </c>
      <c r="K18" s="3">
        <f t="shared" si="2"/>
        <v>-25.978038762630064</v>
      </c>
      <c r="L18" s="3">
        <f t="shared" si="8"/>
        <v>-1091.0776280304626</v>
      </c>
      <c r="M18" s="3">
        <f t="shared" si="0"/>
        <v>2.4772936633581102</v>
      </c>
      <c r="N18" s="3">
        <f t="shared" si="1"/>
        <v>1.5497705992485553</v>
      </c>
    </row>
    <row r="19" spans="1:14" x14ac:dyDescent="0.3">
      <c r="A19">
        <v>62</v>
      </c>
      <c r="B19">
        <v>154</v>
      </c>
      <c r="C19">
        <f>N18</f>
        <v>1.5497705992485553</v>
      </c>
      <c r="D19">
        <f>M18</f>
        <v>2.4772936633581102</v>
      </c>
      <c r="E19">
        <f t="shared" si="11"/>
        <v>155.14197772745138</v>
      </c>
      <c r="F19" s="1">
        <f t="shared" si="3"/>
        <v>1.3041131299950097</v>
      </c>
      <c r="G19" s="3">
        <f t="shared" si="4"/>
        <v>1.3270526845440818</v>
      </c>
      <c r="H19" s="3">
        <f t="shared" si="5"/>
        <v>2.2939554549072039</v>
      </c>
      <c r="I19" s="3">
        <f t="shared" si="6"/>
        <v>3.104565512034632</v>
      </c>
      <c r="J19" s="3">
        <f t="shared" si="7"/>
        <v>180.04523820396224</v>
      </c>
      <c r="K19" s="3">
        <f t="shared" si="2"/>
        <v>2.2839554549027525</v>
      </c>
      <c r="L19" s="3">
        <f t="shared" si="8"/>
        <v>141.60523820397066</v>
      </c>
      <c r="M19" s="3">
        <f t="shared" si="0"/>
        <v>2.463133139537713</v>
      </c>
      <c r="N19" s="3">
        <f t="shared" si="1"/>
        <v>1.5495422037030651</v>
      </c>
    </row>
    <row r="20" spans="1:14" x14ac:dyDescent="0.3">
      <c r="A20">
        <v>47</v>
      </c>
      <c r="B20">
        <v>124</v>
      </c>
      <c r="C20">
        <f t="shared" si="9"/>
        <v>1.5495422037030651</v>
      </c>
      <c r="D20">
        <f t="shared" si="10"/>
        <v>2.463133139537713</v>
      </c>
      <c r="E20">
        <f t="shared" si="11"/>
        <v>117.31679976197557</v>
      </c>
      <c r="F20" s="1">
        <f t="shared" si="3"/>
        <v>44.66516542152975</v>
      </c>
      <c r="G20" s="3">
        <f t="shared" si="4"/>
        <v>44.531601416769377</v>
      </c>
      <c r="H20" s="3">
        <f t="shared" si="5"/>
        <v>-13.356400476037322</v>
      </c>
      <c r="I20" s="3">
        <f t="shared" si="6"/>
        <v>38.603857197786802</v>
      </c>
      <c r="J20" s="3">
        <f t="shared" si="7"/>
        <v>-606.13082237429478</v>
      </c>
      <c r="K20" s="3">
        <f t="shared" si="2"/>
        <v>-13.366400476048852</v>
      </c>
      <c r="L20" s="3">
        <f t="shared" si="8"/>
        <v>-628.22082237429606</v>
      </c>
      <c r="M20" s="3">
        <f t="shared" si="0"/>
        <v>2.5259552217751424</v>
      </c>
      <c r="N20" s="3">
        <f t="shared" si="1"/>
        <v>1.55087884375067</v>
      </c>
    </row>
    <row r="21" spans="1:14" x14ac:dyDescent="0.3">
      <c r="A21">
        <v>35</v>
      </c>
      <c r="B21">
        <v>100</v>
      </c>
      <c r="C21">
        <f t="shared" si="9"/>
        <v>1.55087884375067</v>
      </c>
      <c r="D21">
        <f t="shared" si="10"/>
        <v>2.5259552217751424</v>
      </c>
      <c r="E21">
        <f t="shared" si="11"/>
        <v>89.959311605880657</v>
      </c>
      <c r="F21" s="1">
        <f t="shared" si="3"/>
        <v>100.81542342780287</v>
      </c>
      <c r="G21" s="3">
        <f t="shared" si="4"/>
        <v>100.61470965992038</v>
      </c>
      <c r="H21" s="3">
        <f t="shared" si="5"/>
        <v>-20.07137678824904</v>
      </c>
      <c r="I21" s="3">
        <f t="shared" si="6"/>
        <v>93.909441551919713</v>
      </c>
      <c r="J21" s="3">
        <f t="shared" si="7"/>
        <v>-690.59818758831568</v>
      </c>
      <c r="K21" s="3">
        <f t="shared" si="2"/>
        <v>-20.081376788238686</v>
      </c>
      <c r="L21" s="3">
        <f t="shared" si="8"/>
        <v>-702.84818758835399</v>
      </c>
      <c r="M21" s="3">
        <f t="shared" si="0"/>
        <v>2.5962400405339778</v>
      </c>
      <c r="N21" s="3">
        <f t="shared" si="1"/>
        <v>1.5528869814294939</v>
      </c>
    </row>
    <row r="22" spans="1:14" x14ac:dyDescent="0.3">
      <c r="A22">
        <v>9</v>
      </c>
      <c r="B22">
        <v>48</v>
      </c>
      <c r="C22">
        <f t="shared" si="9"/>
        <v>1.5528869814294939</v>
      </c>
      <c r="D22">
        <f t="shared" si="10"/>
        <v>2.5962400405339778</v>
      </c>
      <c r="E22">
        <f t="shared" si="11"/>
        <v>24.919047346235295</v>
      </c>
      <c r="F22" s="1">
        <f t="shared" si="3"/>
        <v>532.730375405328</v>
      </c>
      <c r="G22" s="3">
        <f t="shared" si="4"/>
        <v>532.26885635225278</v>
      </c>
      <c r="H22" s="3">
        <f t="shared" si="5"/>
        <v>-46.151905307522156</v>
      </c>
      <c r="I22" s="3">
        <f t="shared" si="6"/>
        <v>528.58390392765045</v>
      </c>
      <c r="J22" s="3">
        <f t="shared" si="7"/>
        <v>-414.64714776775509</v>
      </c>
      <c r="K22" s="3">
        <f t="shared" si="2"/>
        <v>-46.161905307529409</v>
      </c>
      <c r="L22" s="3">
        <f t="shared" si="8"/>
        <v>-415.4571477677647</v>
      </c>
      <c r="M22" s="3">
        <f t="shared" si="0"/>
        <v>2.6377857553107544</v>
      </c>
      <c r="N22" s="3">
        <f t="shared" si="1"/>
        <v>1.5575031719602468</v>
      </c>
    </row>
    <row r="23" spans="1:14" x14ac:dyDescent="0.3">
      <c r="A23">
        <v>38</v>
      </c>
      <c r="B23">
        <v>106</v>
      </c>
      <c r="C23">
        <f t="shared" si="9"/>
        <v>1.5575031719602468</v>
      </c>
      <c r="D23">
        <f t="shared" si="10"/>
        <v>2.6377857553107544</v>
      </c>
      <c r="E23">
        <f t="shared" si="11"/>
        <v>101.79336187376892</v>
      </c>
      <c r="F23" s="1">
        <f t="shared" si="3"/>
        <v>17.695804325060966</v>
      </c>
      <c r="G23" s="3">
        <f t="shared" si="4"/>
        <v>17.611771562536422</v>
      </c>
      <c r="H23" s="3">
        <f t="shared" si="5"/>
        <v>-8.4032762524543614</v>
      </c>
      <c r="I23" s="3">
        <f t="shared" si="6"/>
        <v>14.643159349125378</v>
      </c>
      <c r="J23" s="3">
        <f t="shared" si="7"/>
        <v>-305.26449759355876</v>
      </c>
      <c r="K23" s="3">
        <f t="shared" si="2"/>
        <v>-8.4132762524621683</v>
      </c>
      <c r="L23" s="3">
        <f t="shared" si="8"/>
        <v>-319.70449759356239</v>
      </c>
      <c r="M23" s="3">
        <f t="shared" si="0"/>
        <v>2.6697562050701107</v>
      </c>
      <c r="N23" s="3">
        <f t="shared" si="1"/>
        <v>1.5583444995854929</v>
      </c>
    </row>
    <row r="24" spans="1:14" x14ac:dyDescent="0.3">
      <c r="A24">
        <v>44</v>
      </c>
      <c r="B24">
        <v>118</v>
      </c>
      <c r="C24">
        <f t="shared" si="9"/>
        <v>1.5583444995854929</v>
      </c>
      <c r="D24">
        <f t="shared" si="10"/>
        <v>2.6697562050701107</v>
      </c>
      <c r="E24">
        <f t="shared" si="11"/>
        <v>119.02761752267035</v>
      </c>
      <c r="F24" s="1">
        <f t="shared" si="3"/>
        <v>1.0559977728991563</v>
      </c>
      <c r="G24" s="3">
        <f t="shared" si="4"/>
        <v>1.0766501233525738</v>
      </c>
      <c r="H24" s="3">
        <f t="shared" si="5"/>
        <v>2.0652350453417512</v>
      </c>
      <c r="I24" s="3">
        <f t="shared" si="6"/>
        <v>2.1539011928490615</v>
      </c>
      <c r="J24" s="3">
        <f t="shared" si="7"/>
        <v>109.79034199499051</v>
      </c>
      <c r="K24" s="3">
        <f t="shared" si="2"/>
        <v>2.0552350453407087</v>
      </c>
      <c r="L24" s="3">
        <f t="shared" si="8"/>
        <v>90.430341994991181</v>
      </c>
      <c r="M24" s="3">
        <f t="shared" si="0"/>
        <v>2.6607131708706118</v>
      </c>
      <c r="N24" s="3">
        <f t="shared" si="1"/>
        <v>1.5581389760809587</v>
      </c>
    </row>
    <row r="25" spans="1:14" x14ac:dyDescent="0.3">
      <c r="A25">
        <v>99</v>
      </c>
      <c r="B25">
        <v>228</v>
      </c>
      <c r="C25">
        <f t="shared" si="9"/>
        <v>1.5581389760809587</v>
      </c>
      <c r="D25">
        <f t="shared" si="10"/>
        <v>2.6607131708706118</v>
      </c>
      <c r="E25">
        <f t="shared" si="11"/>
        <v>264.96874289227151</v>
      </c>
      <c r="F25" s="1">
        <f t="shared" si="3"/>
        <v>1366.6879510348751</v>
      </c>
      <c r="G25" s="3">
        <f t="shared" si="4"/>
        <v>1367.4274258927198</v>
      </c>
      <c r="H25" s="3">
        <f t="shared" si="5"/>
        <v>73.947485784469791</v>
      </c>
      <c r="I25" s="3">
        <f t="shared" si="6"/>
        <v>1440.8661619615734</v>
      </c>
      <c r="J25" s="3">
        <f t="shared" si="7"/>
        <v>7417.8210926698284</v>
      </c>
      <c r="K25" s="3">
        <f t="shared" si="2"/>
        <v>73.937485784543014</v>
      </c>
      <c r="L25" s="3">
        <f t="shared" si="8"/>
        <v>7319.8110926697582</v>
      </c>
      <c r="M25" s="3">
        <f t="shared" si="0"/>
        <v>1.9287320616036359</v>
      </c>
      <c r="N25" s="3">
        <f t="shared" si="1"/>
        <v>1.5507452275025044</v>
      </c>
    </row>
    <row r="26" spans="1:14" x14ac:dyDescent="0.3">
      <c r="A26">
        <v>13</v>
      </c>
      <c r="B26">
        <v>56</v>
      </c>
      <c r="C26">
        <f t="shared" si="9"/>
        <v>1.5507452275025044</v>
      </c>
      <c r="D26">
        <f t="shared" si="10"/>
        <v>1.9287320616036359</v>
      </c>
      <c r="E26">
        <f t="shared" si="11"/>
        <v>26.624262028349769</v>
      </c>
      <c r="F26" s="1">
        <f t="shared" si="3"/>
        <v>862.93398137905319</v>
      </c>
      <c r="G26" s="3">
        <f t="shared" si="4"/>
        <v>862.34656661962015</v>
      </c>
      <c r="H26" s="3">
        <f t="shared" si="5"/>
        <v>-58.741475943304522</v>
      </c>
      <c r="I26" s="3">
        <f t="shared" si="6"/>
        <v>855.31318950642401</v>
      </c>
      <c r="J26" s="3">
        <f t="shared" si="7"/>
        <v>-762.07918726291837</v>
      </c>
      <c r="K26" s="3">
        <f t="shared" si="2"/>
        <v>-58.751475943300463</v>
      </c>
      <c r="L26" s="3">
        <f t="shared" si="8"/>
        <v>-763.76918726290603</v>
      </c>
      <c r="M26" s="3">
        <f t="shared" si="0"/>
        <v>2.0051089803299265</v>
      </c>
      <c r="N26" s="3">
        <f t="shared" si="1"/>
        <v>1.5566203750968344</v>
      </c>
    </row>
    <row r="27" spans="1:14" x14ac:dyDescent="0.3">
      <c r="A27">
        <v>21</v>
      </c>
      <c r="B27">
        <v>72</v>
      </c>
      <c r="C27">
        <f t="shared" si="9"/>
        <v>1.5566203750968344</v>
      </c>
      <c r="D27">
        <f t="shared" si="10"/>
        <v>2.0051089803299265</v>
      </c>
      <c r="E27">
        <f t="shared" si="11"/>
        <v>43.663908962025289</v>
      </c>
      <c r="F27" s="1">
        <f t="shared" si="3"/>
        <v>802.93405531239068</v>
      </c>
      <c r="G27" s="3">
        <f t="shared" si="4"/>
        <v>802.36743349163135</v>
      </c>
      <c r="H27" s="3">
        <f t="shared" si="5"/>
        <v>-56.662182075933742</v>
      </c>
      <c r="I27" s="3">
        <f t="shared" si="6"/>
        <v>791.07699707644167</v>
      </c>
      <c r="J27" s="3">
        <f t="shared" si="7"/>
        <v>-1185.7058235949012</v>
      </c>
      <c r="K27" s="3">
        <f t="shared" si="2"/>
        <v>-56.672182075949422</v>
      </c>
      <c r="L27" s="3">
        <f t="shared" si="8"/>
        <v>-1190.1158235949379</v>
      </c>
      <c r="M27" s="3">
        <f t="shared" si="0"/>
        <v>2.1241205626894204</v>
      </c>
      <c r="N27" s="3">
        <f t="shared" si="1"/>
        <v>1.5622875933044293</v>
      </c>
    </row>
    <row r="28" spans="1:14" x14ac:dyDescent="0.3">
      <c r="A28">
        <v>28</v>
      </c>
      <c r="B28">
        <v>86</v>
      </c>
      <c r="C28">
        <f t="shared" si="9"/>
        <v>1.5622875933044293</v>
      </c>
      <c r="D28">
        <f t="shared" si="10"/>
        <v>2.1241205626894204</v>
      </c>
      <c r="E28">
        <f t="shared" si="11"/>
        <v>61.037663348608206</v>
      </c>
      <c r="F28" s="1">
        <f t="shared" si="3"/>
        <v>623.11825109741812</v>
      </c>
      <c r="G28" s="3">
        <f t="shared" si="4"/>
        <v>622.61910436439041</v>
      </c>
      <c r="H28" s="3">
        <f t="shared" si="5"/>
        <v>-49.914673302771462</v>
      </c>
      <c r="I28" s="3">
        <f t="shared" si="6"/>
        <v>609.21774257263894</v>
      </c>
      <c r="J28" s="3">
        <f t="shared" si="7"/>
        <v>-1390.0508524779184</v>
      </c>
      <c r="K28" s="3">
        <f t="shared" si="2"/>
        <v>-49.924673302783589</v>
      </c>
      <c r="L28" s="3">
        <f t="shared" si="8"/>
        <v>-1397.8908524779404</v>
      </c>
      <c r="M28" s="3">
        <f t="shared" si="0"/>
        <v>2.2639096479372145</v>
      </c>
      <c r="N28" s="3">
        <f t="shared" si="1"/>
        <v>1.5672800606347077</v>
      </c>
    </row>
    <row r="29" spans="1:14" x14ac:dyDescent="0.3">
      <c r="A29">
        <v>20</v>
      </c>
      <c r="B29">
        <v>70</v>
      </c>
      <c r="C29">
        <f t="shared" si="9"/>
        <v>1.5672800606347077</v>
      </c>
      <c r="D29">
        <f t="shared" si="10"/>
        <v>2.2639096479372145</v>
      </c>
      <c r="E29">
        <f t="shared" si="11"/>
        <v>46.845473019379</v>
      </c>
      <c r="F29" s="1">
        <f t="shared" si="3"/>
        <v>536.13211969630584</v>
      </c>
      <c r="G29" s="3">
        <f t="shared" si="4"/>
        <v>535.66912915669354</v>
      </c>
      <c r="H29" s="3">
        <f t="shared" si="5"/>
        <v>-46.29905396122922</v>
      </c>
      <c r="I29" s="3">
        <f t="shared" si="6"/>
        <v>526.91030890405762</v>
      </c>
      <c r="J29" s="3">
        <f t="shared" si="7"/>
        <v>-922.18107922482204</v>
      </c>
      <c r="K29" s="3">
        <f t="shared" si="2"/>
        <v>-46.309053961242</v>
      </c>
      <c r="L29" s="3">
        <f t="shared" si="8"/>
        <v>-926.18107922484</v>
      </c>
      <c r="M29" s="3">
        <f t="shared" si="0"/>
        <v>2.3565277558596986</v>
      </c>
      <c r="N29" s="3">
        <f t="shared" si="1"/>
        <v>1.5719109660308319</v>
      </c>
    </row>
    <row r="30" spans="1:14" x14ac:dyDescent="0.3">
      <c r="A30">
        <v>8</v>
      </c>
      <c r="B30">
        <v>46</v>
      </c>
      <c r="C30">
        <f t="shared" si="9"/>
        <v>1.5719109660308319</v>
      </c>
      <c r="D30">
        <f t="shared" si="10"/>
        <v>2.3565277558596986</v>
      </c>
      <c r="E30">
        <f t="shared" si="11"/>
        <v>20.42413301290842</v>
      </c>
      <c r="F30" s="1">
        <f t="shared" si="3"/>
        <v>654.12497214140092</v>
      </c>
      <c r="G30" s="3">
        <f t="shared" si="4"/>
        <v>653.61355480165901</v>
      </c>
      <c r="H30" s="3">
        <f t="shared" si="5"/>
        <v>-51.141733974191084</v>
      </c>
      <c r="I30" s="3">
        <f t="shared" si="6"/>
        <v>650.03923342346638</v>
      </c>
      <c r="J30" s="3">
        <f t="shared" si="7"/>
        <v>-408.57387179345324</v>
      </c>
      <c r="K30" s="3">
        <f t="shared" si="2"/>
        <v>-51.151733974183159</v>
      </c>
      <c r="L30" s="3">
        <f t="shared" si="8"/>
        <v>-409.21387179346527</v>
      </c>
      <c r="M30" s="3">
        <f t="shared" si="0"/>
        <v>2.397449143039045</v>
      </c>
      <c r="N30" s="3">
        <f t="shared" si="1"/>
        <v>1.5770261394282503</v>
      </c>
    </row>
    <row r="31" spans="1:14" x14ac:dyDescent="0.3">
      <c r="A31">
        <v>64</v>
      </c>
      <c r="B31">
        <v>158</v>
      </c>
      <c r="C31">
        <f t="shared" si="9"/>
        <v>1.5770261394282503</v>
      </c>
      <c r="D31">
        <f t="shared" si="10"/>
        <v>2.397449143039045</v>
      </c>
      <c r="E31">
        <f t="shared" si="11"/>
        <v>155.01377129392714</v>
      </c>
      <c r="F31" s="1">
        <f t="shared" si="3"/>
        <v>8.9175618849736153</v>
      </c>
      <c r="G31" s="3">
        <f t="shared" si="4"/>
        <v>8.857937310852213</v>
      </c>
      <c r="H31" s="3">
        <f t="shared" si="5"/>
        <v>-5.9624574121402318</v>
      </c>
      <c r="I31" s="3">
        <f t="shared" si="6"/>
        <v>5.5047891412004128</v>
      </c>
      <c r="J31" s="3">
        <f t="shared" si="7"/>
        <v>-341.27727437732023</v>
      </c>
      <c r="K31" s="3">
        <f t="shared" si="2"/>
        <v>-5.9724574121457294</v>
      </c>
      <c r="L31" s="3">
        <f t="shared" si="8"/>
        <v>-382.23727437732668</v>
      </c>
      <c r="M31" s="3">
        <f t="shared" si="0"/>
        <v>2.4356728704767776</v>
      </c>
      <c r="N31" s="3">
        <f t="shared" si="1"/>
        <v>1.577623385169465</v>
      </c>
    </row>
    <row r="32" spans="1:14" x14ac:dyDescent="0.3">
      <c r="A32">
        <v>99</v>
      </c>
      <c r="B32">
        <v>228</v>
      </c>
      <c r="C32">
        <f t="shared" si="9"/>
        <v>1.577623385169465</v>
      </c>
      <c r="D32">
        <f t="shared" si="10"/>
        <v>2.4356728704767776</v>
      </c>
      <c r="E32">
        <f t="shared" si="11"/>
        <v>242.70923756237045</v>
      </c>
      <c r="F32" s="1">
        <f t="shared" si="3"/>
        <v>216.3616696662497</v>
      </c>
      <c r="G32" s="3">
        <f t="shared" si="4"/>
        <v>216.65595441749684</v>
      </c>
      <c r="H32" s="3">
        <f t="shared" si="5"/>
        <v>29.428475124714737</v>
      </c>
      <c r="I32" s="3">
        <f t="shared" si="6"/>
        <v>246.46606003974256</v>
      </c>
      <c r="J32" s="3">
        <f t="shared" si="7"/>
        <v>3010.4390373492861</v>
      </c>
      <c r="K32" s="3">
        <f t="shared" si="2"/>
        <v>29.418475124740894</v>
      </c>
      <c r="L32" s="3">
        <f t="shared" si="8"/>
        <v>2912.4290373493486</v>
      </c>
      <c r="M32" s="3">
        <f t="shared" si="0"/>
        <v>2.1444299667418427</v>
      </c>
      <c r="N32" s="3">
        <f t="shared" si="1"/>
        <v>1.5746815376569909</v>
      </c>
    </row>
    <row r="33" spans="1:15" x14ac:dyDescent="0.3">
      <c r="A33">
        <v>70</v>
      </c>
      <c r="B33">
        <v>170</v>
      </c>
      <c r="C33">
        <f t="shared" si="9"/>
        <v>1.5746815376569909</v>
      </c>
      <c r="D33">
        <f t="shared" si="10"/>
        <v>2.1444299667418427</v>
      </c>
      <c r="E33">
        <f t="shared" si="11"/>
        <v>151.684779209586</v>
      </c>
      <c r="F33" s="1">
        <f t="shared" si="3"/>
        <v>335.44731260161331</v>
      </c>
      <c r="G33" s="3">
        <f t="shared" si="4"/>
        <v>335.08110818580536</v>
      </c>
      <c r="H33" s="3">
        <f t="shared" si="5"/>
        <v>-36.62044158079425</v>
      </c>
      <c r="I33" s="3">
        <f t="shared" si="6"/>
        <v>310.29600349503414</v>
      </c>
      <c r="J33" s="3">
        <f t="shared" si="7"/>
        <v>-2515.130910657916</v>
      </c>
      <c r="K33" s="3">
        <f t="shared" si="2"/>
        <v>-36.630441580828005</v>
      </c>
      <c r="L33" s="3">
        <f t="shared" si="8"/>
        <v>-2564.1309106579602</v>
      </c>
      <c r="M33" s="3">
        <f t="shared" si="0"/>
        <v>2.4008430578076387</v>
      </c>
      <c r="N33" s="3">
        <f t="shared" si="1"/>
        <v>1.5783445818150736</v>
      </c>
    </row>
    <row r="34" spans="1:15" x14ac:dyDescent="0.3">
      <c r="A34">
        <v>27</v>
      </c>
      <c r="B34">
        <v>84</v>
      </c>
      <c r="C34">
        <f t="shared" si="9"/>
        <v>1.5783445818150736</v>
      </c>
      <c r="D34">
        <f t="shared" si="10"/>
        <v>2.4008430578076387</v>
      </c>
      <c r="E34">
        <f t="shared" si="11"/>
        <v>66.401107142621314</v>
      </c>
      <c r="F34" s="1">
        <f t="shared" si="3"/>
        <v>309.72102980549454</v>
      </c>
      <c r="G34" s="3">
        <f t="shared" si="4"/>
        <v>309.36915194834677</v>
      </c>
      <c r="H34" s="3">
        <f t="shared" si="5"/>
        <v>-35.187785714776965</v>
      </c>
      <c r="I34" s="3">
        <f t="shared" si="6"/>
        <v>300.29052766251021</v>
      </c>
      <c r="J34" s="3">
        <f t="shared" si="7"/>
        <v>-943.05021429843237</v>
      </c>
      <c r="K34" s="3">
        <f t="shared" si="2"/>
        <v>-35.197785714757373</v>
      </c>
      <c r="L34" s="3">
        <f t="shared" si="8"/>
        <v>-950.34021429844904</v>
      </c>
      <c r="M34" s="3">
        <f t="shared" si="0"/>
        <v>2.4958770792374838</v>
      </c>
      <c r="N34" s="3">
        <f t="shared" si="1"/>
        <v>1.5818643603865494</v>
      </c>
    </row>
    <row r="35" spans="1:15" x14ac:dyDescent="0.3">
      <c r="A35">
        <v>17</v>
      </c>
      <c r="B35">
        <v>64</v>
      </c>
      <c r="C35">
        <f t="shared" si="9"/>
        <v>1.5818643603865494</v>
      </c>
      <c r="D35">
        <f t="shared" si="10"/>
        <v>2.4958770792374838</v>
      </c>
      <c r="E35">
        <f t="shared" si="11"/>
        <v>44.011774707423768</v>
      </c>
      <c r="F35" s="1">
        <f t="shared" si="3"/>
        <v>399.52915034678421</v>
      </c>
      <c r="G35" s="3">
        <f t="shared" si="4"/>
        <v>399.12948584093243</v>
      </c>
      <c r="H35" s="3">
        <f t="shared" si="5"/>
        <v>-39.966450585177427</v>
      </c>
      <c r="I35" s="3">
        <f t="shared" si="6"/>
        <v>392.76205374730819</v>
      </c>
      <c r="J35" s="3">
        <f t="shared" si="7"/>
        <v>-676.70965994760195</v>
      </c>
      <c r="K35" s="3">
        <f t="shared" si="2"/>
        <v>-39.976450585152463</v>
      </c>
      <c r="L35" s="3">
        <f t="shared" si="8"/>
        <v>-679.59965994759182</v>
      </c>
      <c r="M35" s="3">
        <f t="shared" si="0"/>
        <v>2.5638370452322432</v>
      </c>
      <c r="N35" s="3">
        <f t="shared" si="1"/>
        <v>1.5858620054450647</v>
      </c>
    </row>
    <row r="36" spans="1:15" x14ac:dyDescent="0.3">
      <c r="A36">
        <v>8</v>
      </c>
      <c r="B36">
        <v>46</v>
      </c>
      <c r="C36">
        <f t="shared" si="9"/>
        <v>1.5858620054450647</v>
      </c>
      <c r="D36">
        <f t="shared" si="10"/>
        <v>2.5638370452322432</v>
      </c>
      <c r="E36">
        <f t="shared" si="11"/>
        <v>22.096558367303011</v>
      </c>
      <c r="F36" s="1">
        <f t="shared" si="3"/>
        <v>571.37452188775171</v>
      </c>
      <c r="G36" s="3">
        <f t="shared" si="4"/>
        <v>570.8965530550978</v>
      </c>
      <c r="H36" s="3">
        <f t="shared" si="5"/>
        <v>-47.796883265391443</v>
      </c>
      <c r="I36" s="3">
        <f t="shared" si="6"/>
        <v>567.55637122652024</v>
      </c>
      <c r="J36" s="3">
        <f t="shared" si="7"/>
        <v>-381.81506612314706</v>
      </c>
      <c r="K36" s="3">
        <f t="shared" si="2"/>
        <v>-47.806883265393978</v>
      </c>
      <c r="L36" s="3">
        <f t="shared" si="8"/>
        <v>-382.45506612315182</v>
      </c>
      <c r="M36" s="3">
        <f t="shared" si="0"/>
        <v>2.6020825518445583</v>
      </c>
      <c r="N36" s="3">
        <f t="shared" si="1"/>
        <v>1.5906426937716041</v>
      </c>
      <c r="O36" s="2" t="s">
        <v>85</v>
      </c>
    </row>
    <row r="37" spans="1:15" x14ac:dyDescent="0.3">
      <c r="E37" t="s">
        <v>2</v>
      </c>
      <c r="F37" s="1">
        <f>SQRT(SUM(F8:F36))</f>
        <v>103.05591298365337</v>
      </c>
      <c r="K37" s="3">
        <f>SQRT(SUMSQ(K8:K36))</f>
        <v>206.11182596730674</v>
      </c>
      <c r="L37" s="3">
        <f>SQRT(SUMSQ(L8:L36))</f>
        <v>10441.720813834088</v>
      </c>
    </row>
    <row r="40" spans="1:15" x14ac:dyDescent="0.3">
      <c r="C40" t="s">
        <v>20</v>
      </c>
    </row>
    <row r="41" spans="1:15" x14ac:dyDescent="0.3">
      <c r="C41" t="s">
        <v>2</v>
      </c>
    </row>
    <row r="42" spans="1:15" x14ac:dyDescent="0.3">
      <c r="C42">
        <v>150.75521153771854</v>
      </c>
    </row>
    <row r="43" spans="1:15" x14ac:dyDescent="0.3">
      <c r="C43">
        <v>104.74921026693299</v>
      </c>
    </row>
    <row r="44" spans="1:15" x14ac:dyDescent="0.3">
      <c r="C44">
        <v>104.55969980561993</v>
      </c>
    </row>
    <row r="45" spans="1:15" x14ac:dyDescent="0.3">
      <c r="C45">
        <v>104.37053295106034</v>
      </c>
    </row>
    <row r="46" spans="1:15" x14ac:dyDescent="0.3">
      <c r="C46">
        <v>104.18170833255277</v>
      </c>
    </row>
    <row r="47" spans="1:15" x14ac:dyDescent="0.3">
      <c r="C47">
        <v>103.99322533093216</v>
      </c>
    </row>
    <row r="48" spans="1:15" x14ac:dyDescent="0.3">
      <c r="C48">
        <v>103.8050833281535</v>
      </c>
    </row>
    <row r="49" spans="3:3" x14ac:dyDescent="0.3">
      <c r="C49">
        <v>103.6172817072901</v>
      </c>
    </row>
    <row r="50" spans="3:3" x14ac:dyDescent="0.3">
      <c r="C50">
        <v>103.42981985253128</v>
      </c>
    </row>
    <row r="51" spans="3:3" x14ac:dyDescent="0.3">
      <c r="C51">
        <v>103.24269714918051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7620</xdr:rowOff>
                  </from>
                  <to>
                    <xdr:col>1</xdr:col>
                    <xdr:colOff>0</xdr:colOff>
                    <xdr:row>1</xdr:row>
                    <xdr:rowOff>213360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22860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5"/>
  <sheetViews>
    <sheetView zoomScale="70" zoomScaleNormal="70" workbookViewId="0">
      <pane xSplit="3" ySplit="5" topLeftCell="D22" activePane="bottomRight" state="frozen"/>
      <selection pane="topRight" activeCell="D1" sqref="D1"/>
      <selection pane="bottomLeft" activeCell="A4" sqref="A4"/>
      <selection pane="bottomRight" activeCell="H3" sqref="H3"/>
    </sheetView>
  </sheetViews>
  <sheetFormatPr defaultRowHeight="14.4" x14ac:dyDescent="0.3"/>
  <cols>
    <col min="3" max="3" width="8.88671875" style="5" customWidth="1"/>
    <col min="4" max="4" width="10.88671875" style="5" bestFit="1" customWidth="1"/>
    <col min="5" max="5" width="9.109375" style="5" bestFit="1" customWidth="1"/>
    <col min="6" max="6" width="10.88671875" style="7" bestFit="1" customWidth="1"/>
    <col min="7" max="7" width="10.109375" style="7" bestFit="1" customWidth="1"/>
    <col min="8" max="8" width="12.33203125" bestFit="1" customWidth="1"/>
    <col min="9" max="9" width="6.21875" bestFit="1" customWidth="1"/>
    <col min="10" max="10" width="45.21875" customWidth="1"/>
    <col min="11" max="11" width="6.5546875" customWidth="1"/>
  </cols>
  <sheetData>
    <row r="1" spans="1:13" x14ac:dyDescent="0.3">
      <c r="A1" s="30" t="s">
        <v>87</v>
      </c>
      <c r="B1" s="29"/>
      <c r="C1" s="31"/>
      <c r="D1" s="31"/>
      <c r="E1" s="31"/>
      <c r="F1" s="32"/>
    </row>
    <row r="2" spans="1:13" x14ac:dyDescent="0.3">
      <c r="B2" t="s">
        <v>21</v>
      </c>
      <c r="C2" s="5">
        <v>2.4560135901618385</v>
      </c>
      <c r="D2" s="5" t="s">
        <v>14</v>
      </c>
      <c r="H2" s="2" t="s">
        <v>89</v>
      </c>
    </row>
    <row r="3" spans="1:13" x14ac:dyDescent="0.3">
      <c r="B3" t="s">
        <v>22</v>
      </c>
      <c r="C3" s="5">
        <v>2.3432002589793792</v>
      </c>
      <c r="D3">
        <v>1E-4</v>
      </c>
      <c r="G3" t="s">
        <v>24</v>
      </c>
      <c r="H3">
        <v>0.9</v>
      </c>
      <c r="I3">
        <f>1-H3</f>
        <v>9.9999999999999978E-2</v>
      </c>
    </row>
    <row r="4" spans="1:13" ht="50.4" customHeight="1" x14ac:dyDescent="0.3">
      <c r="D4"/>
      <c r="F4" s="9"/>
      <c r="G4" s="9"/>
      <c r="J4" s="33" t="s">
        <v>88</v>
      </c>
    </row>
    <row r="5" spans="1:13" s="2" customFormat="1" x14ac:dyDescent="0.3">
      <c r="A5" s="2" t="s">
        <v>15</v>
      </c>
      <c r="B5" s="2" t="s">
        <v>16</v>
      </c>
      <c r="C5" s="6" t="s">
        <v>21</v>
      </c>
      <c r="D5" s="6" t="s">
        <v>22</v>
      </c>
      <c r="E5" s="6" t="s">
        <v>18</v>
      </c>
      <c r="F5" s="8" t="s">
        <v>6</v>
      </c>
      <c r="G5" s="8" t="s">
        <v>9</v>
      </c>
      <c r="H5" s="2" t="s">
        <v>13</v>
      </c>
      <c r="I5" s="2" t="s">
        <v>12</v>
      </c>
      <c r="J5">
        <f>J35</f>
        <v>-18.473771098860105</v>
      </c>
      <c r="K5">
        <f>K35</f>
        <v>156.42457305007548</v>
      </c>
      <c r="L5" s="4"/>
      <c r="M5" s="4"/>
    </row>
    <row r="6" spans="1:13" x14ac:dyDescent="0.3">
      <c r="A6">
        <v>14</v>
      </c>
      <c r="B6">
        <v>58</v>
      </c>
      <c r="C6" s="5">
        <f>C2</f>
        <v>2.4560135901618385</v>
      </c>
      <c r="D6" s="5">
        <f>C3</f>
        <v>2.3432002589793792</v>
      </c>
      <c r="E6" s="5">
        <f>C6+D6*A6</f>
        <v>35.260817215873146</v>
      </c>
      <c r="F6" s="7">
        <f t="shared" ref="F6:F34" si="0">2*(D6*A6+C6-B6)</f>
        <v>-45.478365568253707</v>
      </c>
      <c r="G6" s="7">
        <f t="shared" ref="G6:G34" si="1">F6*A6</f>
        <v>-636.6971179555519</v>
      </c>
      <c r="H6" s="3">
        <f>C6-J6*$D$3</f>
        <v>2.4581310132164185</v>
      </c>
      <c r="I6" s="3">
        <f>D6-K6*$D$3</f>
        <v>2.3354890185844281</v>
      </c>
      <c r="J6">
        <f t="shared" ref="J6:J34" si="2">J5*$H$3+$I$3*F6</f>
        <v>-21.174230545799464</v>
      </c>
      <c r="K6">
        <f t="shared" ref="K6:K34" si="3">K5*$H$3+$I$3*G6</f>
        <v>77.112403949512753</v>
      </c>
    </row>
    <row r="7" spans="1:13" x14ac:dyDescent="0.3">
      <c r="A7">
        <v>86</v>
      </c>
      <c r="B7">
        <v>202</v>
      </c>
      <c r="C7" s="5">
        <f>H6</f>
        <v>2.4581310132164185</v>
      </c>
      <c r="D7" s="5">
        <f>I6</f>
        <v>2.3354890185844281</v>
      </c>
      <c r="E7" s="5">
        <f>C7+D7*A7</f>
        <v>203.31018661147723</v>
      </c>
      <c r="F7" s="7">
        <f t="shared" si="0"/>
        <v>2.6203732229544698</v>
      </c>
      <c r="G7" s="7">
        <f t="shared" si="1"/>
        <v>225.35209717408441</v>
      </c>
      <c r="H7" s="3">
        <f t="shared" ref="H7:H34" si="4">C7-J7*$D$3</f>
        <v>2.4600104902333109</v>
      </c>
      <c r="I7" s="3">
        <f t="shared" ref="I7:I34" si="5">D7-K7*$D$3</f>
        <v>2.3262953812572311</v>
      </c>
      <c r="J7">
        <f t="shared" si="2"/>
        <v>-18.794770168924071</v>
      </c>
      <c r="K7">
        <f t="shared" si="3"/>
        <v>91.936373271969913</v>
      </c>
    </row>
    <row r="8" spans="1:13" x14ac:dyDescent="0.3">
      <c r="A8">
        <v>28</v>
      </c>
      <c r="B8">
        <v>86</v>
      </c>
      <c r="C8" s="5">
        <f>H7</f>
        <v>2.4600104902333109</v>
      </c>
      <c r="D8" s="5">
        <f>I7</f>
        <v>2.3262953812572311</v>
      </c>
      <c r="E8" s="5">
        <f>C8+D8*A8</f>
        <v>67.596281165435784</v>
      </c>
      <c r="F8" s="7">
        <f t="shared" si="0"/>
        <v>-36.807437669128433</v>
      </c>
      <c r="G8" s="7">
        <f t="shared" si="1"/>
        <v>-1030.6082547355961</v>
      </c>
      <c r="H8" s="3">
        <f t="shared" si="4"/>
        <v>2.4620700939252051</v>
      </c>
      <c r="I8" s="3">
        <f t="shared" si="5"/>
        <v>2.3283271902101097</v>
      </c>
      <c r="J8">
        <f t="shared" si="2"/>
        <v>-20.59603691894451</v>
      </c>
      <c r="K8">
        <f t="shared" si="3"/>
        <v>-20.318089528786672</v>
      </c>
    </row>
    <row r="9" spans="1:13" x14ac:dyDescent="0.3">
      <c r="A9">
        <v>51</v>
      </c>
      <c r="B9">
        <v>132</v>
      </c>
      <c r="C9" s="5">
        <f t="shared" ref="C9:D34" si="6">H8</f>
        <v>2.4620700939252051</v>
      </c>
      <c r="D9" s="5">
        <f t="shared" si="6"/>
        <v>2.3283271902101097</v>
      </c>
      <c r="E9" s="5">
        <f t="shared" ref="E9:E34" si="7">C9+D9*A9</f>
        <v>121.2067567946408</v>
      </c>
      <c r="F9" s="7">
        <f t="shared" si="0"/>
        <v>-21.586486410718408</v>
      </c>
      <c r="G9" s="7">
        <f t="shared" si="1"/>
        <v>-1100.9108069466388</v>
      </c>
      <c r="H9" s="3">
        <f t="shared" si="4"/>
        <v>2.4641396021120174</v>
      </c>
      <c r="I9" s="3">
        <f t="shared" si="5"/>
        <v>2.341164926337167</v>
      </c>
      <c r="J9">
        <f t="shared" si="2"/>
        <v>-20.695081868121896</v>
      </c>
      <c r="K9">
        <f t="shared" si="3"/>
        <v>-128.37736127057187</v>
      </c>
    </row>
    <row r="10" spans="1:13" x14ac:dyDescent="0.3">
      <c r="A10">
        <v>28</v>
      </c>
      <c r="B10">
        <v>86</v>
      </c>
      <c r="C10" s="5">
        <f t="shared" si="6"/>
        <v>2.4641396021120174</v>
      </c>
      <c r="D10" s="5">
        <f t="shared" si="6"/>
        <v>2.341164926337167</v>
      </c>
      <c r="E10" s="5">
        <f t="shared" si="7"/>
        <v>68.016757539552685</v>
      </c>
      <c r="F10" s="7">
        <f t="shared" si="0"/>
        <v>-35.966484920894629</v>
      </c>
      <c r="G10" s="7">
        <f t="shared" si="1"/>
        <v>-1007.0615777850496</v>
      </c>
      <c r="H10" s="3">
        <f t="shared" si="4"/>
        <v>2.4663618243293572</v>
      </c>
      <c r="I10" s="3">
        <f t="shared" si="5"/>
        <v>2.3627895046293688</v>
      </c>
      <c r="J10">
        <f t="shared" si="2"/>
        <v>-22.222222173399167</v>
      </c>
      <c r="K10">
        <f t="shared" si="3"/>
        <v>-216.24578292201963</v>
      </c>
    </row>
    <row r="11" spans="1:13" x14ac:dyDescent="0.3">
      <c r="A11">
        <v>29</v>
      </c>
      <c r="B11">
        <v>88</v>
      </c>
      <c r="C11" s="5">
        <f t="shared" si="6"/>
        <v>2.4663618243293572</v>
      </c>
      <c r="D11" s="5">
        <f t="shared" si="6"/>
        <v>2.3627895046293688</v>
      </c>
      <c r="E11" s="5">
        <f t="shared" si="7"/>
        <v>70.987257458581055</v>
      </c>
      <c r="F11" s="7">
        <f t="shared" si="0"/>
        <v>-34.025485082837889</v>
      </c>
      <c r="G11" s="7">
        <f t="shared" si="1"/>
        <v>-986.73906740229882</v>
      </c>
      <c r="H11" s="3">
        <f t="shared" si="4"/>
        <v>2.4687020791757917</v>
      </c>
      <c r="I11" s="3">
        <f t="shared" si="5"/>
        <v>2.3921190157663736</v>
      </c>
      <c r="J11">
        <f t="shared" si="2"/>
        <v>-23.402548464343042</v>
      </c>
      <c r="K11">
        <f t="shared" si="3"/>
        <v>-293.29511137004749</v>
      </c>
    </row>
    <row r="12" spans="1:13" x14ac:dyDescent="0.3">
      <c r="A12">
        <v>72</v>
      </c>
      <c r="B12">
        <v>174</v>
      </c>
      <c r="C12" s="5">
        <f t="shared" si="6"/>
        <v>2.4687020791757917</v>
      </c>
      <c r="D12" s="5">
        <f t="shared" si="6"/>
        <v>2.3921190157663736</v>
      </c>
      <c r="E12" s="5">
        <f t="shared" si="7"/>
        <v>174.70127121435468</v>
      </c>
      <c r="F12" s="7">
        <f t="shared" si="0"/>
        <v>1.4025424287093529</v>
      </c>
      <c r="G12" s="7">
        <f t="shared" si="1"/>
        <v>100.98305486707341</v>
      </c>
      <c r="H12" s="3">
        <f t="shared" si="4"/>
        <v>2.4707942831132956</v>
      </c>
      <c r="I12" s="3">
        <f t="shared" si="5"/>
        <v>2.4175057452410074</v>
      </c>
      <c r="J12">
        <f t="shared" si="2"/>
        <v>-20.922039375037805</v>
      </c>
      <c r="K12">
        <f t="shared" si="3"/>
        <v>-253.86729474633543</v>
      </c>
    </row>
    <row r="13" spans="1:13" x14ac:dyDescent="0.3">
      <c r="A13">
        <v>62</v>
      </c>
      <c r="B13">
        <v>154</v>
      </c>
      <c r="C13" s="5">
        <f t="shared" si="6"/>
        <v>2.4707942831132956</v>
      </c>
      <c r="D13" s="5">
        <f t="shared" si="6"/>
        <v>2.4175057452410074</v>
      </c>
      <c r="E13" s="5">
        <f t="shared" si="7"/>
        <v>152.35615048805576</v>
      </c>
      <c r="F13" s="7">
        <f t="shared" si="0"/>
        <v>-3.2876990238884787</v>
      </c>
      <c r="G13" s="7">
        <f t="shared" si="1"/>
        <v>-203.83733948108568</v>
      </c>
      <c r="H13" s="3">
        <f t="shared" si="4"/>
        <v>2.472710143647288</v>
      </c>
      <c r="I13" s="3">
        <f t="shared" si="5"/>
        <v>2.4423921751629885</v>
      </c>
      <c r="J13">
        <f t="shared" si="2"/>
        <v>-19.158605339922875</v>
      </c>
      <c r="K13">
        <f t="shared" si="3"/>
        <v>-248.86429921981045</v>
      </c>
    </row>
    <row r="14" spans="1:13" x14ac:dyDescent="0.3">
      <c r="A14">
        <v>84</v>
      </c>
      <c r="B14">
        <v>198</v>
      </c>
      <c r="C14" s="5">
        <f t="shared" si="6"/>
        <v>2.472710143647288</v>
      </c>
      <c r="D14" s="5">
        <f t="shared" si="6"/>
        <v>2.4423921751629885</v>
      </c>
      <c r="E14" s="5">
        <f t="shared" si="7"/>
        <v>207.63365285733832</v>
      </c>
      <c r="F14" s="7">
        <f t="shared" si="0"/>
        <v>19.267305714676638</v>
      </c>
      <c r="G14" s="7">
        <f t="shared" si="1"/>
        <v>1618.4536800328376</v>
      </c>
      <c r="H14" s="3">
        <f t="shared" si="4"/>
        <v>2.4742417450707341</v>
      </c>
      <c r="I14" s="3">
        <f t="shared" si="5"/>
        <v>2.4486054252924432</v>
      </c>
      <c r="J14">
        <f t="shared" si="2"/>
        <v>-15.316014234462925</v>
      </c>
      <c r="K14">
        <f t="shared" si="3"/>
        <v>-62.132501294545676</v>
      </c>
    </row>
    <row r="15" spans="1:13" x14ac:dyDescent="0.3">
      <c r="A15">
        <v>15</v>
      </c>
      <c r="B15">
        <v>60</v>
      </c>
      <c r="C15" s="5">
        <f t="shared" si="6"/>
        <v>2.4742417450707341</v>
      </c>
      <c r="D15" s="5">
        <f t="shared" si="6"/>
        <v>2.4486054252924432</v>
      </c>
      <c r="E15" s="5">
        <f t="shared" si="7"/>
        <v>39.203323124457384</v>
      </c>
      <c r="F15" s="7">
        <f t="shared" si="0"/>
        <v>-41.593353751085232</v>
      </c>
      <c r="G15" s="7">
        <f t="shared" si="1"/>
        <v>-623.90030626627845</v>
      </c>
      <c r="H15" s="3">
        <f t="shared" si="4"/>
        <v>2.4760361198893466</v>
      </c>
      <c r="I15" s="3">
        <f t="shared" si="5"/>
        <v>2.4604363534716152</v>
      </c>
      <c r="J15">
        <f t="shared" si="2"/>
        <v>-17.943748186125156</v>
      </c>
      <c r="K15">
        <f t="shared" si="3"/>
        <v>-118.30928179171894</v>
      </c>
    </row>
    <row r="16" spans="1:13" x14ac:dyDescent="0.3">
      <c r="A16">
        <v>42</v>
      </c>
      <c r="B16">
        <v>114</v>
      </c>
      <c r="C16" s="5">
        <f t="shared" si="6"/>
        <v>2.4760361198893466</v>
      </c>
      <c r="D16" s="5">
        <f t="shared" si="6"/>
        <v>2.4604363534716152</v>
      </c>
      <c r="E16" s="5">
        <f t="shared" si="7"/>
        <v>105.81436296569719</v>
      </c>
      <c r="F16" s="7">
        <f t="shared" si="0"/>
        <v>-16.371274068605629</v>
      </c>
      <c r="G16" s="7">
        <f t="shared" si="1"/>
        <v>-687.59351088143649</v>
      </c>
      <c r="H16" s="3">
        <f t="shared" si="4"/>
        <v>2.4778147699667841</v>
      </c>
      <c r="I16" s="3">
        <f t="shared" si="5"/>
        <v>2.4779601239416844</v>
      </c>
      <c r="J16">
        <f t="shared" si="2"/>
        <v>-17.786500774373202</v>
      </c>
      <c r="K16">
        <f t="shared" si="3"/>
        <v>-175.2377047006907</v>
      </c>
    </row>
    <row r="17" spans="1:11" x14ac:dyDescent="0.3">
      <c r="A17">
        <v>62</v>
      </c>
      <c r="B17">
        <v>154</v>
      </c>
      <c r="C17" s="5">
        <f t="shared" si="6"/>
        <v>2.4778147699667841</v>
      </c>
      <c r="D17" s="5">
        <f>I16</f>
        <v>2.4779601239416844</v>
      </c>
      <c r="E17" s="5">
        <f t="shared" si="7"/>
        <v>156.11134245435122</v>
      </c>
      <c r="F17" s="7">
        <f t="shared" si="0"/>
        <v>4.2226849087024334</v>
      </c>
      <c r="G17" s="7">
        <f t="shared" si="1"/>
        <v>261.80646433955087</v>
      </c>
      <c r="H17" s="3">
        <f t="shared" si="4"/>
        <v>2.4793733281873904</v>
      </c>
      <c r="I17" s="3">
        <f t="shared" si="5"/>
        <v>2.491113452721351</v>
      </c>
      <c r="J17">
        <f t="shared" si="2"/>
        <v>-15.58558220606564</v>
      </c>
      <c r="K17">
        <f t="shared" si="3"/>
        <v>-131.53328779666657</v>
      </c>
    </row>
    <row r="18" spans="1:11" x14ac:dyDescent="0.3">
      <c r="A18">
        <v>47</v>
      </c>
      <c r="B18">
        <v>124</v>
      </c>
      <c r="C18" s="5">
        <f t="shared" si="6"/>
        <v>2.4793733281873904</v>
      </c>
      <c r="D18" s="5">
        <f t="shared" si="6"/>
        <v>2.491113452721351</v>
      </c>
      <c r="E18" s="5">
        <f t="shared" si="7"/>
        <v>119.56170560609088</v>
      </c>
      <c r="F18" s="7">
        <f t="shared" si="0"/>
        <v>-8.8765887878182355</v>
      </c>
      <c r="G18" s="7">
        <f t="shared" si="1"/>
        <v>-417.19967302745704</v>
      </c>
      <c r="H18" s="3">
        <f t="shared" si="4"/>
        <v>2.4808647964738144</v>
      </c>
      <c r="I18" s="3">
        <f t="shared" si="5"/>
        <v>2.5071234453533258</v>
      </c>
      <c r="J18">
        <f t="shared" si="2"/>
        <v>-14.914682864240898</v>
      </c>
      <c r="K18">
        <f t="shared" si="3"/>
        <v>-160.09992631974561</v>
      </c>
    </row>
    <row r="19" spans="1:11" x14ac:dyDescent="0.3">
      <c r="A19">
        <v>35</v>
      </c>
      <c r="B19">
        <v>100</v>
      </c>
      <c r="C19" s="5">
        <f t="shared" si="6"/>
        <v>2.4808647964738144</v>
      </c>
      <c r="D19" s="5">
        <f t="shared" si="6"/>
        <v>2.5071234453533258</v>
      </c>
      <c r="E19" s="5">
        <f t="shared" si="7"/>
        <v>90.230185383840208</v>
      </c>
      <c r="F19" s="7">
        <f t="shared" si="0"/>
        <v>-19.539629232319584</v>
      </c>
      <c r="G19" s="7">
        <f t="shared" si="1"/>
        <v>-683.8870231311854</v>
      </c>
      <c r="H19" s="3">
        <f t="shared" si="4"/>
        <v>2.4824025142239194</v>
      </c>
      <c r="I19" s="3">
        <f t="shared" si="5"/>
        <v>2.5283713089534148</v>
      </c>
      <c r="J19">
        <f t="shared" si="2"/>
        <v>-15.377177501048767</v>
      </c>
      <c r="K19">
        <f t="shared" si="3"/>
        <v>-212.47863600088957</v>
      </c>
    </row>
    <row r="20" spans="1:11" x14ac:dyDescent="0.3">
      <c r="A20">
        <v>9</v>
      </c>
      <c r="B20">
        <v>48</v>
      </c>
      <c r="C20" s="5">
        <f t="shared" si="6"/>
        <v>2.4824025142239194</v>
      </c>
      <c r="D20" s="5">
        <f t="shared" si="6"/>
        <v>2.5283713089534148</v>
      </c>
      <c r="E20" s="5">
        <f t="shared" si="7"/>
        <v>25.237744294804653</v>
      </c>
      <c r="F20" s="7">
        <f t="shared" si="0"/>
        <v>-45.524511410390694</v>
      </c>
      <c r="G20" s="7">
        <f t="shared" si="1"/>
        <v>-409.72060269351624</v>
      </c>
      <c r="H20" s="3">
        <f t="shared" si="4"/>
        <v>2.4842417053131176</v>
      </c>
      <c r="I20" s="3">
        <f t="shared" si="5"/>
        <v>2.5515915922204302</v>
      </c>
      <c r="J20">
        <f t="shared" si="2"/>
        <v>-18.39191089198296</v>
      </c>
      <c r="K20">
        <f t="shared" si="3"/>
        <v>-232.20283267015225</v>
      </c>
    </row>
    <row r="21" spans="1:11" x14ac:dyDescent="0.3">
      <c r="A21">
        <v>38</v>
      </c>
      <c r="B21">
        <v>106</v>
      </c>
      <c r="C21" s="5">
        <f t="shared" si="6"/>
        <v>2.4842417053131176</v>
      </c>
      <c r="D21" s="5">
        <f t="shared" si="6"/>
        <v>2.5515915922204302</v>
      </c>
      <c r="E21" s="5">
        <f t="shared" si="7"/>
        <v>99.444722209689473</v>
      </c>
      <c r="F21" s="7">
        <f t="shared" si="0"/>
        <v>-13.110555580621053</v>
      </c>
      <c r="G21" s="7">
        <f t="shared" si="1"/>
        <v>-498.20111206360002</v>
      </c>
      <c r="H21" s="3">
        <f t="shared" si="4"/>
        <v>2.4860280828492023</v>
      </c>
      <c r="I21" s="3">
        <f t="shared" si="5"/>
        <v>2.5774718582813798</v>
      </c>
      <c r="J21">
        <f t="shared" si="2"/>
        <v>-17.86377536084677</v>
      </c>
      <c r="K21">
        <f t="shared" si="3"/>
        <v>-258.80266060949702</v>
      </c>
    </row>
    <row r="22" spans="1:11" x14ac:dyDescent="0.3">
      <c r="A22">
        <v>44</v>
      </c>
      <c r="B22">
        <v>118</v>
      </c>
      <c r="C22" s="5">
        <f t="shared" si="6"/>
        <v>2.4860280828492023</v>
      </c>
      <c r="D22" s="5">
        <f t="shared" si="6"/>
        <v>2.5774718582813798</v>
      </c>
      <c r="E22" s="5">
        <f t="shared" si="7"/>
        <v>115.89478984722992</v>
      </c>
      <c r="F22" s="7">
        <f t="shared" si="0"/>
        <v>-4.2104203055401683</v>
      </c>
      <c r="G22" s="7">
        <f t="shared" si="1"/>
        <v>-185.25849344376741</v>
      </c>
      <c r="H22" s="3">
        <f t="shared" si="4"/>
        <v>2.487677926834734</v>
      </c>
      <c r="I22" s="3">
        <f t="shared" si="5"/>
        <v>2.6026166826706723</v>
      </c>
      <c r="J22">
        <f t="shared" si="2"/>
        <v>-16.498439855316111</v>
      </c>
      <c r="K22">
        <f t="shared" si="3"/>
        <v>-251.44824389292404</v>
      </c>
    </row>
    <row r="23" spans="1:11" x14ac:dyDescent="0.3">
      <c r="A23">
        <v>99</v>
      </c>
      <c r="B23">
        <v>228</v>
      </c>
      <c r="C23" s="5">
        <f t="shared" si="6"/>
        <v>2.487677926834734</v>
      </c>
      <c r="D23" s="5">
        <f t="shared" si="6"/>
        <v>2.6026166826706723</v>
      </c>
      <c r="E23" s="5">
        <f t="shared" si="7"/>
        <v>260.14672951123129</v>
      </c>
      <c r="F23" s="7">
        <f t="shared" si="0"/>
        <v>64.293459022462571</v>
      </c>
      <c r="G23" s="7">
        <f t="shared" si="1"/>
        <v>6365.0524432237944</v>
      </c>
      <c r="H23" s="3">
        <f t="shared" si="4"/>
        <v>2.4885198518314877</v>
      </c>
      <c r="I23" s="3">
        <f t="shared" si="5"/>
        <v>2.5615965001887977</v>
      </c>
      <c r="J23">
        <f t="shared" si="2"/>
        <v>-8.419249967538244</v>
      </c>
      <c r="K23">
        <f t="shared" si="3"/>
        <v>410.2018248187477</v>
      </c>
    </row>
    <row r="24" spans="1:11" x14ac:dyDescent="0.3">
      <c r="A24">
        <v>13</v>
      </c>
      <c r="B24">
        <v>56</v>
      </c>
      <c r="C24" s="5">
        <f t="shared" si="6"/>
        <v>2.4885198518314877</v>
      </c>
      <c r="D24" s="5">
        <f t="shared" si="6"/>
        <v>2.5615965001887977</v>
      </c>
      <c r="E24" s="5">
        <f t="shared" si="7"/>
        <v>35.789274354285858</v>
      </c>
      <c r="F24" s="7">
        <f t="shared" si="0"/>
        <v>-40.421451291428284</v>
      </c>
      <c r="G24" s="7">
        <f t="shared" si="1"/>
        <v>-525.47886678856764</v>
      </c>
      <c r="H24" s="3">
        <f t="shared" si="4"/>
        <v>2.4896817988414806</v>
      </c>
      <c r="I24" s="3">
        <f t="shared" si="5"/>
        <v>2.5299331246229961</v>
      </c>
      <c r="J24">
        <f t="shared" si="2"/>
        <v>-11.619470099927248</v>
      </c>
      <c r="K24">
        <f t="shared" si="3"/>
        <v>316.63375565801618</v>
      </c>
    </row>
    <row r="25" spans="1:11" x14ac:dyDescent="0.3">
      <c r="A25">
        <v>21</v>
      </c>
      <c r="B25">
        <v>72</v>
      </c>
      <c r="C25" s="5">
        <f t="shared" si="6"/>
        <v>2.4896817988414806</v>
      </c>
      <c r="D25" s="5">
        <f t="shared" si="6"/>
        <v>2.5299331246229961</v>
      </c>
      <c r="E25" s="5">
        <f t="shared" si="7"/>
        <v>55.618277415924403</v>
      </c>
      <c r="F25" s="7">
        <f t="shared" si="0"/>
        <v>-32.763445168151193</v>
      </c>
      <c r="G25" s="7">
        <f t="shared" si="1"/>
        <v>-688.0323485311751</v>
      </c>
      <c r="H25" s="3">
        <f t="shared" si="4"/>
        <v>2.4910551856021557</v>
      </c>
      <c r="I25" s="3">
        <f t="shared" si="5"/>
        <v>2.5083164100990865</v>
      </c>
      <c r="J25">
        <f t="shared" si="2"/>
        <v>-13.733867606749643</v>
      </c>
      <c r="K25">
        <f t="shared" si="3"/>
        <v>216.16714523909707</v>
      </c>
    </row>
    <row r="26" spans="1:11" x14ac:dyDescent="0.3">
      <c r="A26">
        <v>28</v>
      </c>
      <c r="B26">
        <v>86</v>
      </c>
      <c r="C26" s="5">
        <f t="shared" si="6"/>
        <v>2.4910551856021557</v>
      </c>
      <c r="D26" s="5">
        <f t="shared" si="6"/>
        <v>2.5083164100990865</v>
      </c>
      <c r="E26" s="5">
        <f t="shared" si="7"/>
        <v>72.723914668376565</v>
      </c>
      <c r="F26" s="7">
        <f t="shared" si="0"/>
        <v>-26.552170663246869</v>
      </c>
      <c r="G26" s="7">
        <f t="shared" si="1"/>
        <v>-743.46077857091234</v>
      </c>
      <c r="H26" s="3">
        <f t="shared" si="4"/>
        <v>2.4925567553933954</v>
      </c>
      <c r="I26" s="3">
        <f t="shared" si="5"/>
        <v>2.4962959748132767</v>
      </c>
      <c r="J26">
        <f t="shared" si="2"/>
        <v>-15.015697912399364</v>
      </c>
      <c r="K26">
        <f t="shared" si="3"/>
        <v>120.20435285809614</v>
      </c>
    </row>
    <row r="27" spans="1:11" x14ac:dyDescent="0.3">
      <c r="A27">
        <v>20</v>
      </c>
      <c r="B27">
        <v>70</v>
      </c>
      <c r="C27" s="5">
        <f t="shared" si="6"/>
        <v>2.4925567553933954</v>
      </c>
      <c r="D27" s="5">
        <f t="shared" si="6"/>
        <v>2.4962959748132767</v>
      </c>
      <c r="E27" s="5">
        <f t="shared" si="7"/>
        <v>52.41847625165893</v>
      </c>
      <c r="F27" s="7">
        <f t="shared" si="0"/>
        <v>-35.16304749668214</v>
      </c>
      <c r="G27" s="7">
        <f t="shared" si="1"/>
        <v>-703.26094993364279</v>
      </c>
      <c r="H27" s="3">
        <f t="shared" si="4"/>
        <v>2.4942597986804782</v>
      </c>
      <c r="I27" s="3">
        <f t="shared" si="5"/>
        <v>2.4925101925553843</v>
      </c>
      <c r="J27">
        <f t="shared" si="2"/>
        <v>-17.030432870827642</v>
      </c>
      <c r="K27">
        <f t="shared" si="3"/>
        <v>37.857822578922267</v>
      </c>
    </row>
    <row r="28" spans="1:11" x14ac:dyDescent="0.3">
      <c r="A28">
        <v>8</v>
      </c>
      <c r="B28">
        <v>46</v>
      </c>
      <c r="C28" s="5">
        <f t="shared" si="6"/>
        <v>2.4942597986804782</v>
      </c>
      <c r="D28" s="5">
        <f t="shared" si="6"/>
        <v>2.4925101925553843</v>
      </c>
      <c r="E28" s="5">
        <f t="shared" si="7"/>
        <v>22.434341339123552</v>
      </c>
      <c r="F28" s="7">
        <f t="shared" si="0"/>
        <v>-47.131317321752896</v>
      </c>
      <c r="G28" s="7">
        <f t="shared" si="1"/>
        <v>-377.05053857402316</v>
      </c>
      <c r="H28" s="3">
        <f t="shared" si="4"/>
        <v>2.49626385081207</v>
      </c>
      <c r="I28" s="3">
        <f t="shared" si="5"/>
        <v>2.4928734939090216</v>
      </c>
      <c r="J28">
        <f t="shared" si="2"/>
        <v>-20.040521315920167</v>
      </c>
      <c r="K28">
        <f t="shared" si="3"/>
        <v>-3.6330135363722604</v>
      </c>
    </row>
    <row r="29" spans="1:11" x14ac:dyDescent="0.3">
      <c r="A29">
        <v>64</v>
      </c>
      <c r="B29">
        <v>158</v>
      </c>
      <c r="C29" s="5">
        <f t="shared" si="6"/>
        <v>2.49626385081207</v>
      </c>
      <c r="D29" s="5">
        <f t="shared" si="6"/>
        <v>2.4928734939090216</v>
      </c>
      <c r="E29" s="5">
        <f t="shared" si="7"/>
        <v>162.04016746098944</v>
      </c>
      <c r="F29" s="7">
        <f t="shared" si="0"/>
        <v>8.0803349219788743</v>
      </c>
      <c r="G29" s="7">
        <f t="shared" si="1"/>
        <v>517.14143500664795</v>
      </c>
      <c r="H29" s="3">
        <f t="shared" si="4"/>
        <v>2.4979866943812832</v>
      </c>
      <c r="I29" s="3">
        <f t="shared" si="5"/>
        <v>2.4880290507772287</v>
      </c>
      <c r="J29">
        <f t="shared" si="2"/>
        <v>-17.228435692130265</v>
      </c>
      <c r="K29">
        <f t="shared" si="3"/>
        <v>48.444431317929748</v>
      </c>
    </row>
    <row r="30" spans="1:11" x14ac:dyDescent="0.3">
      <c r="A30">
        <v>99</v>
      </c>
      <c r="B30">
        <v>228</v>
      </c>
      <c r="C30" s="5">
        <f t="shared" si="6"/>
        <v>2.4979866943812832</v>
      </c>
      <c r="D30" s="5">
        <f t="shared" si="6"/>
        <v>2.4880290507772287</v>
      </c>
      <c r="E30" s="5">
        <f t="shared" si="7"/>
        <v>248.81286272132692</v>
      </c>
      <c r="F30" s="7">
        <f t="shared" si="0"/>
        <v>41.625725442653845</v>
      </c>
      <c r="G30" s="7">
        <f t="shared" si="1"/>
        <v>4120.9468188227311</v>
      </c>
      <c r="H30" s="3">
        <f t="shared" si="4"/>
        <v>2.4991209963391485</v>
      </c>
      <c r="I30" s="3">
        <f t="shared" si="5"/>
        <v>2.4424595837703875</v>
      </c>
      <c r="J30">
        <f t="shared" si="2"/>
        <v>-11.343019578651855</v>
      </c>
      <c r="K30">
        <f t="shared" si="3"/>
        <v>455.69467006840978</v>
      </c>
    </row>
    <row r="31" spans="1:11" x14ac:dyDescent="0.3">
      <c r="A31">
        <v>70</v>
      </c>
      <c r="B31">
        <v>170</v>
      </c>
      <c r="C31" s="5">
        <f t="shared" si="6"/>
        <v>2.4991209963391485</v>
      </c>
      <c r="D31" s="5">
        <f t="shared" si="6"/>
        <v>2.4424595837703875</v>
      </c>
      <c r="E31" s="5">
        <f t="shared" si="7"/>
        <v>173.47129186026626</v>
      </c>
      <c r="F31" s="7">
        <f t="shared" si="0"/>
        <v>6.9425837205325251</v>
      </c>
      <c r="G31" s="7">
        <f t="shared" si="1"/>
        <v>485.98086043727676</v>
      </c>
      <c r="H31" s="3">
        <f t="shared" si="4"/>
        <v>2.5000724422640217</v>
      </c>
      <c r="I31" s="3">
        <f t="shared" si="5"/>
        <v>2.3965872548598579</v>
      </c>
      <c r="J31">
        <f t="shared" si="2"/>
        <v>-9.5144592487334183</v>
      </c>
      <c r="K31">
        <f t="shared" si="3"/>
        <v>458.72328910529649</v>
      </c>
    </row>
    <row r="32" spans="1:11" x14ac:dyDescent="0.3">
      <c r="A32">
        <v>27</v>
      </c>
      <c r="B32">
        <v>84</v>
      </c>
      <c r="C32" s="5">
        <f t="shared" si="6"/>
        <v>2.5000724422640217</v>
      </c>
      <c r="D32" s="5">
        <f t="shared" si="6"/>
        <v>2.3965872548598579</v>
      </c>
      <c r="E32" s="5">
        <f t="shared" si="7"/>
        <v>67.207928323480189</v>
      </c>
      <c r="F32" s="7">
        <f t="shared" si="0"/>
        <v>-33.584143353039622</v>
      </c>
      <c r="G32" s="7">
        <f t="shared" si="1"/>
        <v>-906.77187053206978</v>
      </c>
      <c r="H32" s="3">
        <f t="shared" si="4"/>
        <v>2.5012645850299382</v>
      </c>
      <c r="I32" s="3">
        <f t="shared" si="5"/>
        <v>2.3643698775457018</v>
      </c>
      <c r="J32">
        <f t="shared" si="2"/>
        <v>-11.921427659164038</v>
      </c>
      <c r="K32">
        <f t="shared" si="3"/>
        <v>322.17377314155988</v>
      </c>
    </row>
    <row r="33" spans="1:13" x14ac:dyDescent="0.3">
      <c r="A33">
        <v>17</v>
      </c>
      <c r="B33">
        <v>64</v>
      </c>
      <c r="C33" s="5">
        <f t="shared" si="6"/>
        <v>2.5012645850299382</v>
      </c>
      <c r="D33" s="5">
        <f t="shared" si="6"/>
        <v>2.3643698775457018</v>
      </c>
      <c r="E33" s="5">
        <f t="shared" si="7"/>
        <v>42.695552503306864</v>
      </c>
      <c r="F33" s="7">
        <f t="shared" si="0"/>
        <v>-42.608894993386272</v>
      </c>
      <c r="G33" s="7">
        <f t="shared" si="1"/>
        <v>-724.35121488756658</v>
      </c>
      <c r="H33" s="3">
        <f t="shared" si="4"/>
        <v>2.502763602469197</v>
      </c>
      <c r="I33" s="3">
        <f t="shared" si="5"/>
        <v>2.3426177501118373</v>
      </c>
      <c r="J33">
        <f t="shared" si="2"/>
        <v>-14.990174392586262</v>
      </c>
      <c r="K33">
        <f t="shared" si="3"/>
        <v>217.52127433864729</v>
      </c>
    </row>
    <row r="34" spans="1:13" x14ac:dyDescent="0.3">
      <c r="A34">
        <v>8</v>
      </c>
      <c r="B34">
        <v>46</v>
      </c>
      <c r="C34" s="5">
        <f t="shared" si="6"/>
        <v>2.502763602469197</v>
      </c>
      <c r="D34" s="5">
        <f t="shared" si="6"/>
        <v>2.3426177501118373</v>
      </c>
      <c r="E34" s="5">
        <f t="shared" si="7"/>
        <v>21.243705603363896</v>
      </c>
      <c r="F34" s="7">
        <f t="shared" si="0"/>
        <v>-49.512588793272208</v>
      </c>
      <c r="G34" s="7">
        <f t="shared" si="1"/>
        <v>-396.10071034617766</v>
      </c>
      <c r="H34" s="3">
        <f t="shared" si="4"/>
        <v>2.5046078440524626</v>
      </c>
      <c r="I34" s="3">
        <f t="shared" si="5"/>
        <v>2.3270018425248207</v>
      </c>
      <c r="J34">
        <f t="shared" si="2"/>
        <v>-18.442415832654856</v>
      </c>
      <c r="K34">
        <f t="shared" si="3"/>
        <v>156.1590758701648</v>
      </c>
    </row>
    <row r="35" spans="1:13" x14ac:dyDescent="0.3">
      <c r="A35" s="7"/>
      <c r="B35" s="7"/>
      <c r="H35" s="3"/>
      <c r="J35">
        <v>-18.473771098860105</v>
      </c>
      <c r="K35">
        <v>156.42457305007548</v>
      </c>
      <c r="M35"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7620</xdr:colOff>
                    <xdr:row>1</xdr:row>
                    <xdr:rowOff>7620</xdr:rowOff>
                  </from>
                  <to>
                    <xdr:col>0</xdr:col>
                    <xdr:colOff>640080</xdr:colOff>
                    <xdr:row>1</xdr:row>
                    <xdr:rowOff>182880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7620</xdr:colOff>
                    <xdr:row>2</xdr:row>
                    <xdr:rowOff>7620</xdr:rowOff>
                  </from>
                  <to>
                    <xdr:col>0</xdr:col>
                    <xdr:colOff>640080</xdr:colOff>
                    <xdr:row>2</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P34"/>
  <sheetViews>
    <sheetView tabSelected="1" zoomScale="85" zoomScaleNormal="85" workbookViewId="0">
      <pane xSplit="3" ySplit="4" topLeftCell="D5" activePane="bottomRight" state="frozen"/>
      <selection pane="topRight" activeCell="D1" sqref="D1"/>
      <selection pane="bottomLeft" activeCell="A4" sqref="A4"/>
      <selection pane="bottomRight" activeCell="O15" sqref="O15"/>
    </sheetView>
  </sheetViews>
  <sheetFormatPr defaultRowHeight="14.4" x14ac:dyDescent="0.3"/>
  <cols>
    <col min="3" max="3" width="8.88671875" style="5" customWidth="1"/>
    <col min="4" max="4" width="10.88671875" style="5" bestFit="1" customWidth="1"/>
    <col min="5" max="5" width="9.109375" style="5" bestFit="1" customWidth="1"/>
    <col min="6" max="6" width="10.88671875" style="7" bestFit="1" customWidth="1"/>
    <col min="7" max="7" width="10.109375" style="7" bestFit="1" customWidth="1"/>
    <col min="8" max="8" width="8.21875" bestFit="1" customWidth="1"/>
    <col min="9" max="9" width="5.88671875" bestFit="1" customWidth="1"/>
    <col min="10" max="10" width="13.6640625" customWidth="1"/>
    <col min="11" max="11" width="6.5546875" customWidth="1"/>
    <col min="12" max="12" width="13.77734375" customWidth="1"/>
    <col min="13" max="13" width="13.109375" customWidth="1"/>
  </cols>
  <sheetData>
    <row r="1" spans="1:16" x14ac:dyDescent="0.3">
      <c r="J1" s="34" t="s">
        <v>91</v>
      </c>
      <c r="L1" s="34" t="s">
        <v>92</v>
      </c>
    </row>
    <row r="2" spans="1:16" x14ac:dyDescent="0.3">
      <c r="B2" t="s">
        <v>21</v>
      </c>
      <c r="C2" s="5">
        <v>29.559950009837117</v>
      </c>
      <c r="D2" s="5" t="s">
        <v>14</v>
      </c>
      <c r="I2" t="s">
        <v>24</v>
      </c>
      <c r="J2">
        <v>0.7</v>
      </c>
      <c r="K2">
        <f>1-J2</f>
        <v>0.30000000000000004</v>
      </c>
      <c r="L2">
        <v>0.9</v>
      </c>
      <c r="M2">
        <f>1-L2</f>
        <v>9.9999999999999978E-2</v>
      </c>
    </row>
    <row r="3" spans="1:16" x14ac:dyDescent="0.3">
      <c r="B3" t="s">
        <v>22</v>
      </c>
      <c r="C3" s="5">
        <v>1.9437456497006467</v>
      </c>
      <c r="D3">
        <v>1</v>
      </c>
      <c r="F3" s="9"/>
      <c r="G3" s="9"/>
      <c r="M3" s="34" t="s">
        <v>90</v>
      </c>
      <c r="N3" s="29"/>
      <c r="O3" s="29"/>
      <c r="P3" s="29"/>
    </row>
    <row r="4" spans="1:16" s="2" customFormat="1" x14ac:dyDescent="0.3">
      <c r="A4" s="2" t="s">
        <v>15</v>
      </c>
      <c r="B4" s="2" t="s">
        <v>16</v>
      </c>
      <c r="C4" s="6" t="s">
        <v>21</v>
      </c>
      <c r="D4" s="6" t="s">
        <v>22</v>
      </c>
      <c r="E4" s="6" t="s">
        <v>18</v>
      </c>
      <c r="F4" s="8" t="s">
        <v>6</v>
      </c>
      <c r="G4" s="8" t="s">
        <v>9</v>
      </c>
      <c r="H4" s="2" t="s">
        <v>13</v>
      </c>
      <c r="I4" s="2" t="s">
        <v>12</v>
      </c>
      <c r="J4">
        <f>J34</f>
        <v>-0.87879459391621784</v>
      </c>
      <c r="K4">
        <f>K34</f>
        <v>6.4430610083578292</v>
      </c>
      <c r="L4">
        <f>L34</f>
        <v>354.0205865197243</v>
      </c>
      <c r="M4" s="7">
        <f>M34</f>
        <v>1102622.7425137348</v>
      </c>
      <c r="N4" s="4"/>
      <c r="O4" s="4"/>
    </row>
    <row r="5" spans="1:16" x14ac:dyDescent="0.3">
      <c r="A5">
        <v>14</v>
      </c>
      <c r="B5">
        <v>58</v>
      </c>
      <c r="C5" s="5">
        <f>C2</f>
        <v>29.559950009837117</v>
      </c>
      <c r="D5" s="5">
        <f>C3</f>
        <v>1.9437456497006467</v>
      </c>
      <c r="E5" s="5">
        <f>C5+D5*A5</f>
        <v>56.77238910564617</v>
      </c>
      <c r="F5" s="7">
        <f t="shared" ref="F5:F33" si="0">2*(D5*A5+C5-B5)</f>
        <v>-2.4552217887076608</v>
      </c>
      <c r="G5" s="7">
        <f t="shared" ref="G5:G33" si="1">F5*A5</f>
        <v>-34.373105041907252</v>
      </c>
      <c r="H5" s="3">
        <f>C5-J5*$D$3/SQRT(L5)</f>
        <v>29.635605711994181</v>
      </c>
      <c r="I5" s="3">
        <f>D5-K5*$D$3/SQRT(M5)</f>
        <v>1.9495693810953481</v>
      </c>
      <c r="J5">
        <f>J4*$J$2+$K$2*F5</f>
        <v>-1.3517227523536508</v>
      </c>
      <c r="K5">
        <f>K4*$J$2+$K$2*G5</f>
        <v>-5.8017888067216958</v>
      </c>
      <c r="L5">
        <f>L4*$L$2+$M$2*F5^2</f>
        <v>319.22133927092636</v>
      </c>
      <c r="M5">
        <f t="shared" ref="M5:M33" si="2">M4*$L$2+$M$2*G5^2</f>
        <v>992478.61929738359</v>
      </c>
    </row>
    <row r="6" spans="1:16" x14ac:dyDescent="0.3">
      <c r="A6">
        <v>86</v>
      </c>
      <c r="B6">
        <v>202</v>
      </c>
      <c r="C6" s="5">
        <f>H5</f>
        <v>29.635605711994181</v>
      </c>
      <c r="D6" s="5">
        <f>I5</f>
        <v>1.9495693810953481</v>
      </c>
      <c r="E6" s="5">
        <f>C6+D6*A6</f>
        <v>197.2985724861941</v>
      </c>
      <c r="F6" s="7">
        <f t="shared" si="0"/>
        <v>-9.4028550276117926</v>
      </c>
      <c r="G6" s="7">
        <f t="shared" si="1"/>
        <v>-808.64553237461416</v>
      </c>
      <c r="H6" s="3">
        <f t="shared" ref="H6:H33" si="3">C6-J6*$D$3/SQRT(L6)</f>
        <v>29.85450979473309</v>
      </c>
      <c r="I6" s="3">
        <f t="shared" ref="I6:I33" si="4">D6-K6*$D$3/SQRT(M6)</f>
        <v>2.201491431261152</v>
      </c>
      <c r="J6">
        <f t="shared" ref="J6:J33" si="5">J5*$J$2+$K$2*F6</f>
        <v>-3.7670624349310939</v>
      </c>
      <c r="K6">
        <f t="shared" ref="K6:K33" si="6">K5*$J$2+$K$2*G6</f>
        <v>-246.65491187708949</v>
      </c>
      <c r="L6">
        <f t="shared" ref="L5:L33" si="7">L5*$L$2+$M$2*F6^2</f>
        <v>296.14057361086219</v>
      </c>
      <c r="M6">
        <f t="shared" si="2"/>
        <v>958621.51707058761</v>
      </c>
    </row>
    <row r="7" spans="1:16" x14ac:dyDescent="0.3">
      <c r="A7">
        <v>28</v>
      </c>
      <c r="B7">
        <v>86</v>
      </c>
      <c r="C7" s="5">
        <f>H6</f>
        <v>29.85450979473309</v>
      </c>
      <c r="D7" s="5">
        <f>I6</f>
        <v>2.201491431261152</v>
      </c>
      <c r="E7" s="5">
        <f>C7+D7*A7</f>
        <v>91.496269870045353</v>
      </c>
      <c r="F7" s="7">
        <f t="shared" si="0"/>
        <v>10.992539740090706</v>
      </c>
      <c r="G7" s="7">
        <f t="shared" si="1"/>
        <v>307.79111272253976</v>
      </c>
      <c r="H7" s="3">
        <f t="shared" si="3"/>
        <v>29.814919970654827</v>
      </c>
      <c r="I7" s="3">
        <f t="shared" si="4"/>
        <v>2.2874943992835841</v>
      </c>
      <c r="J7">
        <f t="shared" si="5"/>
        <v>0.6608182175754469</v>
      </c>
      <c r="K7">
        <f t="shared" si="6"/>
        <v>-80.321104497200679</v>
      </c>
      <c r="L7">
        <f t="shared" si="7"/>
        <v>278.61010924352331</v>
      </c>
      <c r="M7">
        <f t="shared" si="2"/>
        <v>872232.90227062674</v>
      </c>
    </row>
    <row r="8" spans="1:16" x14ac:dyDescent="0.3">
      <c r="A8">
        <v>51</v>
      </c>
      <c r="B8">
        <v>132</v>
      </c>
      <c r="C8" s="5">
        <f t="shared" ref="C8:D33" si="8">H7</f>
        <v>29.814919970654827</v>
      </c>
      <c r="D8" s="5">
        <f t="shared" si="8"/>
        <v>2.2874943992835841</v>
      </c>
      <c r="E8" s="5">
        <f t="shared" ref="E8:E33" si="9">C8+D8*A8</f>
        <v>146.47713433411764</v>
      </c>
      <c r="F8" s="7">
        <f t="shared" si="0"/>
        <v>28.954268668235272</v>
      </c>
      <c r="G8" s="7">
        <f t="shared" si="1"/>
        <v>1476.6677020799989</v>
      </c>
      <c r="H8" s="3">
        <f t="shared" si="3"/>
        <v>29.314754116867778</v>
      </c>
      <c r="I8" s="3">
        <f t="shared" si="4"/>
        <v>1.9013101134810722</v>
      </c>
      <c r="J8">
        <f t="shared" si="5"/>
        <v>9.1488533527733971</v>
      </c>
      <c r="K8">
        <f t="shared" si="6"/>
        <v>386.77553747595925</v>
      </c>
      <c r="L8">
        <f t="shared" si="7"/>
        <v>334.58406573040605</v>
      </c>
      <c r="M8">
        <f t="shared" si="2"/>
        <v>1003064.3622801865</v>
      </c>
    </row>
    <row r="9" spans="1:16" x14ac:dyDescent="0.3">
      <c r="A9">
        <v>28</v>
      </c>
      <c r="B9">
        <v>86</v>
      </c>
      <c r="C9" s="5">
        <f t="shared" si="8"/>
        <v>29.314754116867778</v>
      </c>
      <c r="D9" s="5">
        <f t="shared" si="8"/>
        <v>1.9013101134810722</v>
      </c>
      <c r="E9" s="5">
        <f t="shared" si="9"/>
        <v>82.551437294337802</v>
      </c>
      <c r="F9" s="7">
        <f t="shared" si="0"/>
        <v>-6.8971254113243958</v>
      </c>
      <c r="G9" s="7">
        <f t="shared" si="1"/>
        <v>-193.11951151708308</v>
      </c>
      <c r="H9" s="3">
        <f t="shared" si="3"/>
        <v>29.066887732076808</v>
      </c>
      <c r="I9" s="3">
        <f t="shared" si="4"/>
        <v>1.677795943917131</v>
      </c>
      <c r="J9">
        <f>J8*$J$2+$K$2*F9</f>
        <v>4.3350597235440587</v>
      </c>
      <c r="K9">
        <f t="shared" si="6"/>
        <v>212.8070227780465</v>
      </c>
      <c r="L9">
        <f t="shared" si="7"/>
        <v>305.88269305131917</v>
      </c>
      <c r="M9">
        <f t="shared" si="2"/>
        <v>906487.44062502752</v>
      </c>
    </row>
    <row r="10" spans="1:16" x14ac:dyDescent="0.3">
      <c r="A10">
        <v>29</v>
      </c>
      <c r="B10">
        <v>88</v>
      </c>
      <c r="C10" s="5">
        <f t="shared" si="8"/>
        <v>29.066887732076808</v>
      </c>
      <c r="D10" s="5">
        <f t="shared" si="8"/>
        <v>1.677795943917131</v>
      </c>
      <c r="E10" s="5">
        <f t="shared" si="9"/>
        <v>77.72297010567361</v>
      </c>
      <c r="F10" s="7">
        <f t="shared" si="0"/>
        <v>-20.554059788652779</v>
      </c>
      <c r="G10" s="7">
        <f t="shared" si="1"/>
        <v>-596.06773387093062</v>
      </c>
      <c r="H10" s="3">
        <f t="shared" si="3"/>
        <v>29.242630187956578</v>
      </c>
      <c r="I10" s="3">
        <f t="shared" si="4"/>
        <v>1.7101526422311772</v>
      </c>
      <c r="J10">
        <f t="shared" si="5"/>
        <v>-3.1316761301149936</v>
      </c>
      <c r="K10">
        <f>K9*$J$2+$K$2*G10</f>
        <v>-29.85540421664669</v>
      </c>
      <c r="L10">
        <f>L9*$L$2+$M$2*F10^2</f>
        <v>317.54136112573855</v>
      </c>
      <c r="M10">
        <f t="shared" si="2"/>
        <v>851368.37089872744</v>
      </c>
    </row>
    <row r="11" spans="1:16" x14ac:dyDescent="0.3">
      <c r="A11">
        <v>72</v>
      </c>
      <c r="B11">
        <v>174</v>
      </c>
      <c r="C11" s="5">
        <f t="shared" si="8"/>
        <v>29.242630187956578</v>
      </c>
      <c r="D11" s="5">
        <f t="shared" si="8"/>
        <v>1.7101526422311772</v>
      </c>
      <c r="E11" s="5">
        <f t="shared" si="9"/>
        <v>152.37362042860133</v>
      </c>
      <c r="F11" s="7">
        <f t="shared" si="0"/>
        <v>-43.252759142797345</v>
      </c>
      <c r="G11" s="7">
        <f t="shared" si="1"/>
        <v>-3114.1986582814088</v>
      </c>
      <c r="H11" s="3">
        <f t="shared" si="3"/>
        <v>29.940153439122842</v>
      </c>
      <c r="I11" s="3">
        <f t="shared" si="4"/>
        <v>2.435078627924061</v>
      </c>
      <c r="J11">
        <f t="shared" si="5"/>
        <v>-15.168001033919701</v>
      </c>
      <c r="K11">
        <f t="shared" si="6"/>
        <v>-955.1583804360755</v>
      </c>
      <c r="L11">
        <f t="shared" si="7"/>
        <v>472.86734235964855</v>
      </c>
      <c r="M11">
        <f>M10*$L$2+$M$2*G11^2</f>
        <v>1736054.8621330271</v>
      </c>
    </row>
    <row r="12" spans="1:16" x14ac:dyDescent="0.3">
      <c r="A12">
        <v>62</v>
      </c>
      <c r="B12">
        <v>154</v>
      </c>
      <c r="C12" s="5">
        <f t="shared" si="8"/>
        <v>29.940153439122842</v>
      </c>
      <c r="D12" s="5">
        <f t="shared" si="8"/>
        <v>2.435078627924061</v>
      </c>
      <c r="E12" s="5">
        <f t="shared" si="9"/>
        <v>180.91502837041463</v>
      </c>
      <c r="F12" s="7">
        <f t="shared" si="0"/>
        <v>53.830056740829264</v>
      </c>
      <c r="G12" s="7">
        <f t="shared" si="1"/>
        <v>3337.4635179314146</v>
      </c>
      <c r="H12" s="3">
        <f t="shared" si="3"/>
        <v>29.733340537302713</v>
      </c>
      <c r="I12" s="3">
        <f t="shared" si="4"/>
        <v>2.2317538134937878</v>
      </c>
      <c r="J12">
        <f t="shared" si="5"/>
        <v>5.5314162985049915</v>
      </c>
      <c r="K12">
        <f t="shared" si="6"/>
        <v>332.6281890741717</v>
      </c>
      <c r="L12">
        <f>L11*$L$2+$M$2*F12^2</f>
        <v>715.34810899577337</v>
      </c>
      <c r="M12">
        <f t="shared" si="2"/>
        <v>2676315.6492720377</v>
      </c>
    </row>
    <row r="13" spans="1:16" x14ac:dyDescent="0.3">
      <c r="A13">
        <v>84</v>
      </c>
      <c r="B13">
        <v>198</v>
      </c>
      <c r="C13" s="5">
        <f t="shared" si="8"/>
        <v>29.733340537302713</v>
      </c>
      <c r="D13" s="5">
        <f t="shared" si="8"/>
        <v>2.2317538134937878</v>
      </c>
      <c r="E13" s="5">
        <f t="shared" si="9"/>
        <v>217.20066087078089</v>
      </c>
      <c r="F13" s="7">
        <f t="shared" si="0"/>
        <v>38.401321741561787</v>
      </c>
      <c r="G13" s="7">
        <f t="shared" si="1"/>
        <v>3225.7110262911901</v>
      </c>
      <c r="H13" s="3">
        <f t="shared" si="3"/>
        <v>29.186146877112488</v>
      </c>
      <c r="I13" s="3">
        <f t="shared" si="4"/>
        <v>1.5853233229718278</v>
      </c>
      <c r="J13">
        <f t="shared" si="5"/>
        <v>15.392387931422032</v>
      </c>
      <c r="K13">
        <f t="shared" si="6"/>
        <v>1200.5530402392774</v>
      </c>
      <c r="L13">
        <f t="shared" si="7"/>
        <v>791.27944924609062</v>
      </c>
      <c r="M13">
        <f t="shared" si="2"/>
        <v>3449205.2468584902</v>
      </c>
    </row>
    <row r="14" spans="1:16" x14ac:dyDescent="0.3">
      <c r="A14">
        <v>15</v>
      </c>
      <c r="B14">
        <v>60</v>
      </c>
      <c r="C14" s="5">
        <f t="shared" si="8"/>
        <v>29.186146877112488</v>
      </c>
      <c r="D14" s="5">
        <f t="shared" si="8"/>
        <v>1.5853233229718278</v>
      </c>
      <c r="E14" s="5">
        <f t="shared" si="9"/>
        <v>52.965996721689905</v>
      </c>
      <c r="F14" s="7">
        <f t="shared" si="0"/>
        <v>-14.06800655662019</v>
      </c>
      <c r="G14" s="7">
        <f t="shared" si="1"/>
        <v>-211.02009834930286</v>
      </c>
      <c r="H14" s="3">
        <f t="shared" si="3"/>
        <v>28.943884568198378</v>
      </c>
      <c r="I14" s="3">
        <f t="shared" si="4"/>
        <v>1.1445916037055079</v>
      </c>
      <c r="J14">
        <f t="shared" si="5"/>
        <v>6.5542695850093633</v>
      </c>
      <c r="K14">
        <f t="shared" si="6"/>
        <v>777.0810986627032</v>
      </c>
      <c r="L14">
        <f t="shared" si="7"/>
        <v>731.94238516919233</v>
      </c>
      <c r="M14">
        <f t="shared" si="2"/>
        <v>3108737.6703633759</v>
      </c>
    </row>
    <row r="15" spans="1:16" x14ac:dyDescent="0.3">
      <c r="A15">
        <v>42</v>
      </c>
      <c r="B15">
        <v>114</v>
      </c>
      <c r="C15" s="5">
        <f t="shared" si="8"/>
        <v>28.943884568198378</v>
      </c>
      <c r="D15" s="5">
        <f t="shared" si="8"/>
        <v>1.1445916037055079</v>
      </c>
      <c r="E15" s="5">
        <f t="shared" si="9"/>
        <v>77.01673192382971</v>
      </c>
      <c r="F15" s="7">
        <f t="shared" si="0"/>
        <v>-73.966536152340581</v>
      </c>
      <c r="G15" s="7">
        <f t="shared" si="1"/>
        <v>-3106.5945183983044</v>
      </c>
      <c r="H15" s="3">
        <f t="shared" si="3"/>
        <v>29.45077506159323</v>
      </c>
      <c r="I15" s="3">
        <f t="shared" si="4"/>
        <v>1.3446198224844377</v>
      </c>
      <c r="J15">
        <f t="shared" si="5"/>
        <v>-17.601972136195624</v>
      </c>
      <c r="K15">
        <f t="shared" si="6"/>
        <v>-388.02158645559928</v>
      </c>
      <c r="L15">
        <f t="shared" si="7"/>
        <v>1205.8529936898235</v>
      </c>
      <c r="M15">
        <f t="shared" si="2"/>
        <v>3762956.8535012775</v>
      </c>
    </row>
    <row r="16" spans="1:16" x14ac:dyDescent="0.3">
      <c r="A16">
        <v>62</v>
      </c>
      <c r="B16">
        <v>154</v>
      </c>
      <c r="C16" s="5">
        <f t="shared" si="8"/>
        <v>29.45077506159323</v>
      </c>
      <c r="D16" s="5">
        <f>I15</f>
        <v>1.3446198224844377</v>
      </c>
      <c r="E16" s="5">
        <f t="shared" si="9"/>
        <v>112.81720405562837</v>
      </c>
      <c r="F16" s="7">
        <f t="shared" si="0"/>
        <v>-82.365591888743268</v>
      </c>
      <c r="G16" s="7">
        <f t="shared" si="1"/>
        <v>-5106.6666971020823</v>
      </c>
      <c r="H16" s="3">
        <f t="shared" si="3"/>
        <v>30.332547711323045</v>
      </c>
      <c r="I16" s="3">
        <f t="shared" si="4"/>
        <v>2.0812824362331197</v>
      </c>
      <c r="J16">
        <f t="shared" si="5"/>
        <v>-37.031058061959918</v>
      </c>
      <c r="K16">
        <f t="shared" si="6"/>
        <v>-1803.6151196495443</v>
      </c>
      <c r="L16">
        <f t="shared" si="7"/>
        <v>1763.6767670391423</v>
      </c>
      <c r="M16">
        <f t="shared" si="2"/>
        <v>5994465.6436802987</v>
      </c>
    </row>
    <row r="17" spans="1:13" x14ac:dyDescent="0.3">
      <c r="A17">
        <v>47</v>
      </c>
      <c r="B17">
        <v>124</v>
      </c>
      <c r="C17" s="5">
        <f t="shared" si="8"/>
        <v>30.332547711323045</v>
      </c>
      <c r="D17" s="5">
        <f t="shared" si="8"/>
        <v>2.0812824362331197</v>
      </c>
      <c r="E17" s="5">
        <f t="shared" si="9"/>
        <v>128.15282221427967</v>
      </c>
      <c r="F17" s="7">
        <f t="shared" si="0"/>
        <v>8.3056444285593329</v>
      </c>
      <c r="G17" s="7">
        <f t="shared" si="1"/>
        <v>390.36528814228865</v>
      </c>
      <c r="H17" s="3">
        <f t="shared" si="3"/>
        <v>30.919362089796696</v>
      </c>
      <c r="I17" s="3">
        <f t="shared" si="4"/>
        <v>2.5737256635084638</v>
      </c>
      <c r="J17">
        <f t="shared" si="5"/>
        <v>-23.430047314804142</v>
      </c>
      <c r="K17">
        <f t="shared" si="6"/>
        <v>-1145.4209973119944</v>
      </c>
      <c r="L17">
        <f t="shared" si="7"/>
        <v>1594.2074632725939</v>
      </c>
      <c r="M17">
        <f t="shared" si="2"/>
        <v>5410257.5851309095</v>
      </c>
    </row>
    <row r="18" spans="1:13" x14ac:dyDescent="0.3">
      <c r="A18">
        <v>35</v>
      </c>
      <c r="B18">
        <v>100</v>
      </c>
      <c r="C18" s="5">
        <f t="shared" si="8"/>
        <v>30.919362089796696</v>
      </c>
      <c r="D18" s="5">
        <f t="shared" si="8"/>
        <v>2.5737256635084638</v>
      </c>
      <c r="E18" s="5">
        <f t="shared" si="9"/>
        <v>120.99976031259293</v>
      </c>
      <c r="F18" s="7">
        <f t="shared" si="0"/>
        <v>41.999520625185852</v>
      </c>
      <c r="G18" s="7">
        <f t="shared" si="1"/>
        <v>1469.9832218815047</v>
      </c>
      <c r="H18" s="3">
        <f t="shared" si="3"/>
        <v>31.014061154873687</v>
      </c>
      <c r="I18" s="3">
        <f t="shared" si="4"/>
        <v>2.7337209524532513</v>
      </c>
      <c r="J18">
        <f t="shared" si="5"/>
        <v>-3.8011769328071434</v>
      </c>
      <c r="K18">
        <f t="shared" si="6"/>
        <v>-360.79973155394453</v>
      </c>
      <c r="L18">
        <f t="shared" si="7"/>
        <v>1611.1826902198757</v>
      </c>
      <c r="M18">
        <f t="shared" si="2"/>
        <v>5085316.8938791314</v>
      </c>
    </row>
    <row r="19" spans="1:13" x14ac:dyDescent="0.3">
      <c r="A19">
        <v>9</v>
      </c>
      <c r="B19">
        <v>48</v>
      </c>
      <c r="C19" s="5">
        <f t="shared" si="8"/>
        <v>31.014061154873687</v>
      </c>
      <c r="D19" s="5">
        <f t="shared" si="8"/>
        <v>2.7337209524532513</v>
      </c>
      <c r="E19" s="5">
        <f t="shared" si="9"/>
        <v>55.617549726952944</v>
      </c>
      <c r="F19" s="7">
        <f t="shared" si="0"/>
        <v>15.235099453905889</v>
      </c>
      <c r="G19" s="7">
        <f t="shared" si="1"/>
        <v>137.115895085153</v>
      </c>
      <c r="H19" s="3">
        <f t="shared" si="3"/>
        <v>30.964307548866675</v>
      </c>
      <c r="I19" s="3">
        <f t="shared" si="4"/>
        <v>2.832527785773657</v>
      </c>
      <c r="J19">
        <f t="shared" si="5"/>
        <v>1.9097059832067669</v>
      </c>
      <c r="K19">
        <f t="shared" si="6"/>
        <v>-211.42504356221525</v>
      </c>
      <c r="L19">
        <f t="shared" si="7"/>
        <v>1473.2752467349285</v>
      </c>
      <c r="M19">
        <f t="shared" si="2"/>
        <v>4578665.2813597191</v>
      </c>
    </row>
    <row r="20" spans="1:13" x14ac:dyDescent="0.3">
      <c r="A20">
        <v>38</v>
      </c>
      <c r="B20">
        <v>106</v>
      </c>
      <c r="C20" s="5">
        <f t="shared" si="8"/>
        <v>30.964307548866675</v>
      </c>
      <c r="D20" s="5">
        <f t="shared" si="8"/>
        <v>2.832527785773657</v>
      </c>
      <c r="E20" s="5">
        <f t="shared" si="9"/>
        <v>138.60036340826565</v>
      </c>
      <c r="F20" s="7">
        <f t="shared" si="0"/>
        <v>65.200726816531301</v>
      </c>
      <c r="G20" s="7">
        <f t="shared" si="1"/>
        <v>2477.6276190281897</v>
      </c>
      <c r="H20" s="3">
        <f t="shared" si="3"/>
        <v>30.464924801325505</v>
      </c>
      <c r="I20" s="3">
        <f t="shared" si="4"/>
        <v>2.5589476130321018</v>
      </c>
      <c r="J20">
        <f t="shared" si="5"/>
        <v>20.89701223320413</v>
      </c>
      <c r="K20">
        <f t="shared" si="6"/>
        <v>595.29075521490631</v>
      </c>
      <c r="L20">
        <f t="shared" si="7"/>
        <v>1751.0611998018298</v>
      </c>
      <c r="M20">
        <f t="shared" si="2"/>
        <v>4734662.6150808772</v>
      </c>
    </row>
    <row r="21" spans="1:13" x14ac:dyDescent="0.3">
      <c r="A21">
        <v>44</v>
      </c>
      <c r="B21">
        <v>118</v>
      </c>
      <c r="C21" s="5">
        <f t="shared" si="8"/>
        <v>30.464924801325505</v>
      </c>
      <c r="D21" s="5">
        <f t="shared" si="8"/>
        <v>2.5589476130321018</v>
      </c>
      <c r="E21" s="5">
        <f t="shared" si="9"/>
        <v>143.05861977473799</v>
      </c>
      <c r="F21" s="7">
        <f t="shared" si="0"/>
        <v>50.117239549475983</v>
      </c>
      <c r="G21" s="7">
        <f t="shared" si="1"/>
        <v>2205.1585401769435</v>
      </c>
      <c r="H21" s="3">
        <f t="shared" si="3"/>
        <v>29.770969237998731</v>
      </c>
      <c r="I21" s="3">
        <f t="shared" si="4"/>
        <v>2.064080209965006</v>
      </c>
      <c r="J21">
        <f t="shared" si="5"/>
        <v>29.663080428085685</v>
      </c>
      <c r="K21">
        <f t="shared" si="6"/>
        <v>1078.2510907035175</v>
      </c>
      <c r="L21">
        <f t="shared" si="7"/>
        <v>1827.1288498276028</v>
      </c>
      <c r="M21">
        <f t="shared" si="2"/>
        <v>4747468.7723043207</v>
      </c>
    </row>
    <row r="22" spans="1:13" x14ac:dyDescent="0.3">
      <c r="A22">
        <v>99</v>
      </c>
      <c r="B22">
        <v>228</v>
      </c>
      <c r="C22" s="5">
        <f t="shared" si="8"/>
        <v>29.770969237998731</v>
      </c>
      <c r="D22" s="5">
        <f t="shared" si="8"/>
        <v>2.064080209965006</v>
      </c>
      <c r="E22" s="5">
        <f t="shared" si="9"/>
        <v>234.11491002453434</v>
      </c>
      <c r="F22" s="7">
        <f t="shared" si="0"/>
        <v>12.229820049068678</v>
      </c>
      <c r="G22" s="7">
        <f t="shared" si="1"/>
        <v>1210.7521848577992</v>
      </c>
      <c r="H22" s="3">
        <f t="shared" si="3"/>
        <v>29.171169007655333</v>
      </c>
      <c r="I22" s="3">
        <f t="shared" si="4"/>
        <v>1.5322598915739825</v>
      </c>
      <c r="J22">
        <f t="shared" si="5"/>
        <v>24.43310231438058</v>
      </c>
      <c r="K22">
        <f t="shared" si="6"/>
        <v>1118.001418949802</v>
      </c>
      <c r="L22">
        <f t="shared" si="7"/>
        <v>1659.3728146881028</v>
      </c>
      <c r="M22">
        <f t="shared" si="2"/>
        <v>4419313.9803876821</v>
      </c>
    </row>
    <row r="23" spans="1:13" x14ac:dyDescent="0.3">
      <c r="A23">
        <v>13</v>
      </c>
      <c r="B23">
        <v>56</v>
      </c>
      <c r="C23" s="5">
        <f t="shared" si="8"/>
        <v>29.171169007655333</v>
      </c>
      <c r="D23" s="5">
        <f t="shared" si="8"/>
        <v>1.5322598915739825</v>
      </c>
      <c r="E23" s="5">
        <f t="shared" si="9"/>
        <v>49.090547598117105</v>
      </c>
      <c r="F23" s="7">
        <f t="shared" si="0"/>
        <v>-13.81890480376579</v>
      </c>
      <c r="G23" s="7">
        <f t="shared" si="1"/>
        <v>-179.64576244895528</v>
      </c>
      <c r="H23" s="3">
        <f t="shared" si="3"/>
        <v>28.837996640744255</v>
      </c>
      <c r="I23" s="3">
        <f t="shared" si="4"/>
        <v>1.1670199263069325</v>
      </c>
      <c r="J23">
        <f t="shared" si="5"/>
        <v>12.957500178936668</v>
      </c>
      <c r="K23">
        <f t="shared" si="6"/>
        <v>728.70726453017483</v>
      </c>
      <c r="L23">
        <f t="shared" si="7"/>
        <v>1512.5317462168468</v>
      </c>
      <c r="M23">
        <f t="shared" si="2"/>
        <v>3980609.8423455004</v>
      </c>
    </row>
    <row r="24" spans="1:13" x14ac:dyDescent="0.3">
      <c r="A24">
        <v>21</v>
      </c>
      <c r="B24">
        <v>72</v>
      </c>
      <c r="C24" s="5">
        <f t="shared" si="8"/>
        <v>28.837996640744255</v>
      </c>
      <c r="D24" s="5">
        <f t="shared" si="8"/>
        <v>1.1670199263069325</v>
      </c>
      <c r="E24" s="5">
        <f t="shared" si="9"/>
        <v>53.345415093189843</v>
      </c>
      <c r="F24" s="7">
        <f t="shared" si="0"/>
        <v>-37.309169813620315</v>
      </c>
      <c r="G24" s="7">
        <f t="shared" si="1"/>
        <v>-783.49256608602661</v>
      </c>
      <c r="H24" s="3">
        <f t="shared" si="3"/>
        <v>28.892790683177559</v>
      </c>
      <c r="I24" s="3">
        <f t="shared" si="4"/>
        <v>1.0229338203304634</v>
      </c>
      <c r="J24">
        <f t="shared" si="5"/>
        <v>-2.1225008188304297</v>
      </c>
      <c r="K24">
        <f t="shared" si="6"/>
        <v>275.0473153453143</v>
      </c>
      <c r="L24">
        <f t="shared" si="7"/>
        <v>1500.4759868133181</v>
      </c>
      <c r="M24">
        <f t="shared" si="2"/>
        <v>3643934.9182221568</v>
      </c>
    </row>
    <row r="25" spans="1:13" x14ac:dyDescent="0.3">
      <c r="A25">
        <v>28</v>
      </c>
      <c r="B25">
        <v>86</v>
      </c>
      <c r="C25" s="5">
        <f t="shared" si="8"/>
        <v>28.892790683177559</v>
      </c>
      <c r="D25" s="5">
        <f t="shared" si="8"/>
        <v>1.0229338203304634</v>
      </c>
      <c r="E25" s="5">
        <f t="shared" si="9"/>
        <v>57.534937652430536</v>
      </c>
      <c r="F25" s="7">
        <f t="shared" si="0"/>
        <v>-56.930124695138929</v>
      </c>
      <c r="G25" s="7">
        <f t="shared" si="1"/>
        <v>-1594.0434914638899</v>
      </c>
      <c r="H25" s="3">
        <f t="shared" si="3"/>
        <v>29.34646399255724</v>
      </c>
      <c r="I25" s="3">
        <f t="shared" si="4"/>
        <v>1.1749075922739727</v>
      </c>
      <c r="J25">
        <f t="shared" si="5"/>
        <v>-18.564787981722979</v>
      </c>
      <c r="K25">
        <f t="shared" si="6"/>
        <v>-285.67992669744706</v>
      </c>
      <c r="L25">
        <f t="shared" si="7"/>
        <v>1674.532297912393</v>
      </c>
      <c r="M25">
        <f t="shared" si="2"/>
        <v>3533638.89166778</v>
      </c>
    </row>
    <row r="26" spans="1:13" x14ac:dyDescent="0.3">
      <c r="A26">
        <v>20</v>
      </c>
      <c r="B26">
        <v>70</v>
      </c>
      <c r="C26" s="5">
        <f t="shared" si="8"/>
        <v>29.34646399255724</v>
      </c>
      <c r="D26" s="5">
        <f t="shared" si="8"/>
        <v>1.1749075922739727</v>
      </c>
      <c r="E26" s="5">
        <f t="shared" si="9"/>
        <v>52.844615838036695</v>
      </c>
      <c r="F26" s="7">
        <f t="shared" si="0"/>
        <v>-34.310768323926609</v>
      </c>
      <c r="G26" s="7">
        <f t="shared" si="1"/>
        <v>-686.21536647853213</v>
      </c>
      <c r="H26" s="3">
        <f t="shared" si="3"/>
        <v>29.924217820544104</v>
      </c>
      <c r="I26" s="3">
        <f t="shared" si="4"/>
        <v>1.4008155146583927</v>
      </c>
      <c r="J26">
        <f t="shared" si="5"/>
        <v>-23.288582084384068</v>
      </c>
      <c r="K26">
        <f t="shared" si="6"/>
        <v>-405.84055863177258</v>
      </c>
      <c r="L26">
        <f t="shared" si="7"/>
        <v>1624.8019504189704</v>
      </c>
      <c r="M26">
        <f t="shared" si="2"/>
        <v>3227364.1554201287</v>
      </c>
    </row>
    <row r="27" spans="1:13" x14ac:dyDescent="0.3">
      <c r="A27">
        <v>8</v>
      </c>
      <c r="B27">
        <v>46</v>
      </c>
      <c r="C27" s="5">
        <f t="shared" si="8"/>
        <v>29.924217820544104</v>
      </c>
      <c r="D27" s="5">
        <f t="shared" si="8"/>
        <v>1.4008155146583927</v>
      </c>
      <c r="E27" s="5">
        <f t="shared" si="9"/>
        <v>41.130741937811244</v>
      </c>
      <c r="F27" s="7">
        <f t="shared" si="0"/>
        <v>-9.7385161243775116</v>
      </c>
      <c r="G27" s="7">
        <f t="shared" si="1"/>
        <v>-77.908128995020093</v>
      </c>
      <c r="H27" s="3">
        <f t="shared" si="3"/>
        <v>30.425299633659197</v>
      </c>
      <c r="I27" s="3">
        <f t="shared" si="4"/>
        <v>1.5812000005396747</v>
      </c>
      <c r="J27">
        <f t="shared" si="5"/>
        <v>-19.223562296382099</v>
      </c>
      <c r="K27">
        <f t="shared" si="6"/>
        <v>-307.46082974074682</v>
      </c>
      <c r="L27">
        <f t="shared" si="7"/>
        <v>1471.8056250075492</v>
      </c>
      <c r="M27">
        <f t="shared" si="2"/>
        <v>2905234.7075344664</v>
      </c>
    </row>
    <row r="28" spans="1:13" x14ac:dyDescent="0.3">
      <c r="A28">
        <v>64</v>
      </c>
      <c r="B28">
        <v>158</v>
      </c>
      <c r="C28" s="5">
        <f t="shared" si="8"/>
        <v>30.425299633659197</v>
      </c>
      <c r="D28" s="5">
        <f t="shared" si="8"/>
        <v>1.5812000005396747</v>
      </c>
      <c r="E28" s="5">
        <f t="shared" si="9"/>
        <v>131.62209966819839</v>
      </c>
      <c r="F28" s="7">
        <f t="shared" si="0"/>
        <v>-52.755800663603225</v>
      </c>
      <c r="G28" s="7">
        <f t="shared" si="1"/>
        <v>-3376.3712424706064</v>
      </c>
      <c r="H28" s="3">
        <f t="shared" si="3"/>
        <v>31.15670823175369</v>
      </c>
      <c r="I28" s="3">
        <f t="shared" si="4"/>
        <v>2.2150086258039714</v>
      </c>
      <c r="J28">
        <f t="shared" si="5"/>
        <v>-29.283233806548438</v>
      </c>
      <c r="K28">
        <f t="shared" si="6"/>
        <v>-1228.1339535597049</v>
      </c>
      <c r="L28">
        <f t="shared" si="7"/>
        <v>1602.9425128725782</v>
      </c>
      <c r="M28">
        <f t="shared" si="2"/>
        <v>3754699.51347927</v>
      </c>
    </row>
    <row r="29" spans="1:13" x14ac:dyDescent="0.3">
      <c r="A29">
        <v>99</v>
      </c>
      <c r="B29">
        <v>228</v>
      </c>
      <c r="C29" s="5">
        <f t="shared" si="8"/>
        <v>31.15670823175369</v>
      </c>
      <c r="D29" s="5">
        <f t="shared" si="8"/>
        <v>2.2150086258039714</v>
      </c>
      <c r="E29" s="5">
        <f t="shared" si="9"/>
        <v>250.44256218634686</v>
      </c>
      <c r="F29" s="7">
        <f t="shared" si="0"/>
        <v>44.885124372693724</v>
      </c>
      <c r="G29" s="7">
        <f t="shared" si="1"/>
        <v>4443.6273128966786</v>
      </c>
      <c r="H29" s="3">
        <f t="shared" si="3"/>
        <v>31.330151532861088</v>
      </c>
      <c r="I29" s="3">
        <f t="shared" si="4"/>
        <v>2.0104152422575616</v>
      </c>
      <c r="J29">
        <f t="shared" si="5"/>
        <v>-7.0327263527757857</v>
      </c>
      <c r="K29">
        <f t="shared" si="6"/>
        <v>473.39442637721049</v>
      </c>
      <c r="L29">
        <f t="shared" si="7"/>
        <v>1644.1157005805387</v>
      </c>
      <c r="M29">
        <f t="shared" si="2"/>
        <v>5353811.9317234783</v>
      </c>
    </row>
    <row r="30" spans="1:13" x14ac:dyDescent="0.3">
      <c r="A30">
        <v>70</v>
      </c>
      <c r="B30">
        <v>170</v>
      </c>
      <c r="C30" s="5">
        <f t="shared" si="8"/>
        <v>31.330151532861088</v>
      </c>
      <c r="D30" s="5">
        <f t="shared" si="8"/>
        <v>2.0104152422575616</v>
      </c>
      <c r="E30" s="5">
        <f t="shared" si="9"/>
        <v>172.0592184908904</v>
      </c>
      <c r="F30" s="7">
        <f t="shared" si="0"/>
        <v>4.1184369817808033</v>
      </c>
      <c r="G30" s="7">
        <f t="shared" si="1"/>
        <v>288.29058872465623</v>
      </c>
      <c r="H30" s="3">
        <f t="shared" si="3"/>
        <v>31.425955032163806</v>
      </c>
      <c r="I30" s="3">
        <f t="shared" si="4"/>
        <v>1.8202167077863625</v>
      </c>
      <c r="J30">
        <f t="shared" si="5"/>
        <v>-3.687377352408808</v>
      </c>
      <c r="K30">
        <f t="shared" si="6"/>
        <v>417.86327508144421</v>
      </c>
      <c r="L30">
        <f t="shared" si="7"/>
        <v>1481.4002828397747</v>
      </c>
      <c r="M30">
        <f t="shared" si="2"/>
        <v>4826741.8849058514</v>
      </c>
    </row>
    <row r="31" spans="1:13" x14ac:dyDescent="0.3">
      <c r="A31">
        <v>27</v>
      </c>
      <c r="B31">
        <v>84</v>
      </c>
      <c r="C31" s="5">
        <f t="shared" si="8"/>
        <v>31.425955032163806</v>
      </c>
      <c r="D31" s="5">
        <f t="shared" si="8"/>
        <v>1.8202167077863625</v>
      </c>
      <c r="E31" s="5">
        <f t="shared" si="9"/>
        <v>80.571806142395587</v>
      </c>
      <c r="F31" s="7">
        <f t="shared" si="0"/>
        <v>-6.8563877152088253</v>
      </c>
      <c r="G31" s="7">
        <f t="shared" si="1"/>
        <v>-185.12246831063828</v>
      </c>
      <c r="H31" s="3">
        <f t="shared" si="3"/>
        <v>31.552754230878474</v>
      </c>
      <c r="I31" s="3">
        <f t="shared" si="4"/>
        <v>1.7065667313232691</v>
      </c>
      <c r="J31">
        <f t="shared" si="5"/>
        <v>-4.6380804612488138</v>
      </c>
      <c r="K31">
        <f t="shared" si="6"/>
        <v>236.96755206381945</v>
      </c>
      <c r="L31">
        <f t="shared" si="7"/>
        <v>1337.9612598059239</v>
      </c>
      <c r="M31">
        <f t="shared" si="2"/>
        <v>4347494.729242608</v>
      </c>
    </row>
    <row r="32" spans="1:13" x14ac:dyDescent="0.3">
      <c r="A32">
        <v>17</v>
      </c>
      <c r="B32">
        <v>64</v>
      </c>
      <c r="C32" s="5">
        <f t="shared" si="8"/>
        <v>31.552754230878474</v>
      </c>
      <c r="D32" s="5">
        <f t="shared" si="8"/>
        <v>1.7065667313232691</v>
      </c>
      <c r="E32" s="5">
        <f t="shared" si="9"/>
        <v>60.564388663374046</v>
      </c>
      <c r="F32" s="7">
        <f t="shared" si="0"/>
        <v>-6.8712226732519071</v>
      </c>
      <c r="G32" s="7">
        <f t="shared" si="1"/>
        <v>-116.81078544528242</v>
      </c>
      <c r="H32" s="3">
        <f t="shared" si="3"/>
        <v>31.705419427599804</v>
      </c>
      <c r="I32" s="3">
        <f t="shared" si="4"/>
        <v>1.6404358532070145</v>
      </c>
      <c r="J32">
        <f t="shared" si="5"/>
        <v>-5.3080231248497416</v>
      </c>
      <c r="K32">
        <f t="shared" si="6"/>
        <v>130.8340508110889</v>
      </c>
      <c r="L32">
        <f t="shared" si="7"/>
        <v>1208.8865039278728</v>
      </c>
      <c r="M32">
        <f t="shared" si="2"/>
        <v>3914109.7322779815</v>
      </c>
    </row>
    <row r="33" spans="1:15" x14ac:dyDescent="0.3">
      <c r="A33">
        <v>8</v>
      </c>
      <c r="B33">
        <v>46</v>
      </c>
      <c r="C33" s="5">
        <f t="shared" si="8"/>
        <v>31.705419427599804</v>
      </c>
      <c r="D33" s="5">
        <f t="shared" si="8"/>
        <v>1.6404358532070145</v>
      </c>
      <c r="E33" s="5">
        <f t="shared" si="9"/>
        <v>44.828906253255923</v>
      </c>
      <c r="F33" s="7">
        <f t="shared" si="0"/>
        <v>-2.3421874934881544</v>
      </c>
      <c r="G33" s="7">
        <f t="shared" si="1"/>
        <v>-18.737499947905235</v>
      </c>
      <c r="H33" s="3">
        <f t="shared" si="3"/>
        <v>31.839334361402397</v>
      </c>
      <c r="I33" s="3">
        <f t="shared" si="4"/>
        <v>1.5946354235345996</v>
      </c>
      <c r="J33">
        <f t="shared" si="5"/>
        <v>-4.4182724354412652</v>
      </c>
      <c r="K33">
        <f t="shared" si="6"/>
        <v>85.962585583390648</v>
      </c>
      <c r="L33">
        <f t="shared" si="7"/>
        <v>1088.5464377605508</v>
      </c>
      <c r="M33">
        <f t="shared" si="2"/>
        <v>3522733.8684406132</v>
      </c>
    </row>
    <row r="34" spans="1:15" x14ac:dyDescent="0.3">
      <c r="A34" s="7"/>
      <c r="B34" s="7"/>
      <c r="H34" s="3"/>
      <c r="J34">
        <v>-0.87879459391621784</v>
      </c>
      <c r="K34">
        <v>6.4430610083578292</v>
      </c>
      <c r="L34" s="7">
        <v>354.0205865197243</v>
      </c>
      <c r="M34" s="7">
        <v>1102622.7425137348</v>
      </c>
      <c r="O34"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7620</xdr:colOff>
                    <xdr:row>1</xdr:row>
                    <xdr:rowOff>7620</xdr:rowOff>
                  </from>
                  <to>
                    <xdr:col>0</xdr:col>
                    <xdr:colOff>640080</xdr:colOff>
                    <xdr:row>1</xdr:row>
                    <xdr:rowOff>182880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7620</xdr:colOff>
                    <xdr:row>2</xdr:row>
                    <xdr:rowOff>7620</xdr:rowOff>
                  </from>
                  <to>
                    <xdr:col>0</xdr:col>
                    <xdr:colOff>640080</xdr:colOff>
                    <xdr:row>2</xdr:row>
                    <xdr:rowOff>182880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31</vt:i4>
      </vt:variant>
    </vt:vector>
  </HeadingPairs>
  <TitlesOfParts>
    <vt:vector size="36" baseType="lpstr">
      <vt:lpstr>Intro</vt:lpstr>
      <vt:lpstr>data</vt:lpstr>
      <vt:lpstr>basic SGD</vt:lpstr>
      <vt:lpstr>momentum</vt:lpstr>
      <vt:lpstr>adam</vt:lpstr>
      <vt:lpstr>adam!const</vt:lpstr>
      <vt:lpstr>'basic SGD'!const</vt:lpstr>
      <vt:lpstr>momentum!const</vt:lpstr>
      <vt:lpstr>adam!gradtarget</vt:lpstr>
      <vt:lpstr>'basic SGD'!gradtarget</vt:lpstr>
      <vt:lpstr>adam!histgrad</vt:lpstr>
      <vt:lpstr>'basic SGD'!histgrad</vt:lpstr>
      <vt:lpstr>momentum!histgrad</vt:lpstr>
      <vt:lpstr>adam!lastconst</vt:lpstr>
      <vt:lpstr>'basic SGD'!lastconst</vt:lpstr>
      <vt:lpstr>momentum!lastconst</vt:lpstr>
      <vt:lpstr>adam!lastslope</vt:lpstr>
      <vt:lpstr>'basic SGD'!lastslope</vt:lpstr>
      <vt:lpstr>momentum!lastslope</vt:lpstr>
      <vt:lpstr>adam!lr</vt:lpstr>
      <vt:lpstr>momentum!lr</vt:lpstr>
      <vt:lpstr>adam!max_clipped</vt:lpstr>
      <vt:lpstr>momentum!max_clipped</vt:lpstr>
      <vt:lpstr>adam!momlast</vt:lpstr>
      <vt:lpstr>momentum!momlast</vt:lpstr>
      <vt:lpstr>adam!momtarget</vt:lpstr>
      <vt:lpstr>momentum!momtarget</vt:lpstr>
      <vt:lpstr>adam!ms_last</vt:lpstr>
      <vt:lpstr>adam!pct_clipped</vt:lpstr>
      <vt:lpstr>momentum!pct_clipped</vt:lpstr>
      <vt:lpstr>'basic SGD'!rmse</vt:lpstr>
      <vt:lpstr>'basic SGD'!rmses</vt:lpstr>
      <vt:lpstr>'basic SGD'!rmsestart</vt:lpstr>
      <vt:lpstr>adam!slope</vt:lpstr>
      <vt:lpstr>'basic SGD'!slope</vt:lpstr>
      <vt:lpstr>momentum!slope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Steve Newns</cp:lastModifiedBy>
  <dcterms:created xsi:type="dcterms:W3CDTF">2014-03-27T15:29:57Z</dcterms:created>
  <dcterms:modified xsi:type="dcterms:W3CDTF">2018-06-22T21:40:09Z</dcterms:modified>
</cp:coreProperties>
</file>